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mc:AlternateContent xmlns:mc="http://schemas.openxmlformats.org/markup-compatibility/2006">
    <mc:Choice Requires="x15">
      <x15ac:absPath xmlns:x15ac="http://schemas.microsoft.com/office/spreadsheetml/2010/11/ac" url="https://purdue0.sharepoint.com/sites/CapstoneGameDevGroup/Shared Documents/Team &amp; Project Management/"/>
    </mc:Choice>
  </mc:AlternateContent>
  <xr:revisionPtr revIDLastSave="7081" documentId="11_796889B27676B88C5433E987FA7BFDB4CEDCB568" xr6:coauthVersionLast="47" xr6:coauthVersionMax="47" xr10:uidLastSave="{42DCE731-7376-49E6-B63B-EE4110C48FD4}"/>
  <bookViews>
    <workbookView xWindow="-28920" yWindow="-120" windowWidth="29040" windowHeight="15990" xr2:uid="{00000000-000D-0000-FFFF-FFFF00000000}"/>
  </bookViews>
  <sheets>
    <sheet name="Sheet1" sheetId="1" r:id="rId1"/>
  </sheets>
  <definedNames>
    <definedName name="_xlnm._FilterDatabase" localSheetId="0" hidden="1">Sheet1!$G$2:$K$265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1" l="1"/>
  <c r="M53"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M55" i="1" a="1"/>
  <c r="M55" i="1" s="1"/>
  <c r="N55" i="1" s="1"/>
  <c r="G798" i="1" a="1"/>
  <c r="G798" i="1"/>
  <c r="G797" i="1" a="1"/>
  <c r="G797" i="1"/>
  <c r="G772" i="1" a="1"/>
  <c r="G772" i="1"/>
  <c r="G773" i="1" a="1"/>
  <c r="G773" i="1"/>
  <c r="G776" i="1" a="1"/>
  <c r="G776" i="1"/>
  <c r="G777" i="1" a="1"/>
  <c r="G777" i="1"/>
  <c r="G778" i="1" a="1"/>
  <c r="G778" i="1" s="1"/>
  <c r="G779" i="1" a="1"/>
  <c r="G779" i="1" s="1"/>
  <c r="G780" i="1" a="1"/>
  <c r="G780" i="1" s="1"/>
  <c r="G781" i="1" a="1"/>
  <c r="G781" i="1" s="1"/>
  <c r="G782" i="1" a="1"/>
  <c r="G782" i="1" s="1"/>
  <c r="G783" i="1" a="1"/>
  <c r="G783" i="1" s="1"/>
  <c r="G784" i="1" a="1"/>
  <c r="G784" i="1" s="1"/>
  <c r="G785" i="1" a="1"/>
  <c r="G785" i="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74" i="1" a="1"/>
  <c r="G774" i="1" s="1"/>
  <c r="G775" i="1" a="1"/>
  <c r="G775"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768" i="1" a="1"/>
  <c r="G768" i="1" s="1"/>
  <c r="G757" i="1" a="1"/>
  <c r="G757" i="1" s="1"/>
  <c r="G761" i="1" a="1"/>
  <c r="G761" i="1" s="1"/>
  <c r="G771" i="1" a="1"/>
  <c r="G771" i="1" s="1"/>
  <c r="G770" i="1" a="1"/>
  <c r="G770" i="1" s="1"/>
  <c r="G769" i="1" a="1"/>
  <c r="G769" i="1" s="1"/>
  <c r="G767" i="1" a="1"/>
  <c r="G767" i="1" s="1"/>
  <c r="G766" i="1" a="1"/>
  <c r="G766" i="1" s="1"/>
  <c r="G765" i="1" a="1"/>
  <c r="G765" i="1" s="1"/>
  <c r="G764" i="1" a="1"/>
  <c r="G764" i="1" s="1"/>
  <c r="G763" i="1" a="1"/>
  <c r="G763" i="1" s="1"/>
  <c r="G762" i="1" a="1"/>
  <c r="G762" i="1" s="1"/>
  <c r="G760" i="1" a="1"/>
  <c r="G760" i="1" s="1"/>
  <c r="G759" i="1" a="1"/>
  <c r="G759" i="1" s="1"/>
  <c r="G758" i="1" a="1"/>
  <c r="G758" i="1" s="1"/>
  <c r="G756" i="1" a="1"/>
  <c r="G756" i="1" s="1"/>
  <c r="G755" i="1" a="1"/>
  <c r="G755" i="1" s="1"/>
  <c r="G754" i="1" a="1"/>
  <c r="G754" i="1" s="1"/>
  <c r="G753" i="1" a="1"/>
  <c r="G753" i="1" s="1"/>
  <c r="G752" i="1" a="1"/>
  <c r="G752" i="1" s="1"/>
  <c r="G751" i="1" a="1"/>
  <c r="G751" i="1" s="1"/>
  <c r="G750" i="1" a="1"/>
  <c r="G750" i="1" s="1"/>
  <c r="G749" i="1" a="1"/>
  <c r="G749" i="1" s="1"/>
  <c r="G748" i="1" a="1"/>
  <c r="G748" i="1" s="1"/>
  <c r="G747" i="1" a="1"/>
  <c r="G747" i="1" s="1"/>
  <c r="G746" i="1" a="1"/>
  <c r="G746" i="1" s="1"/>
  <c r="G745" i="1" a="1"/>
  <c r="G745" i="1" s="1"/>
  <c r="G744" i="1" a="1"/>
  <c r="G744" i="1" s="1"/>
  <c r="G743" i="1" a="1"/>
  <c r="G743" i="1" s="1"/>
  <c r="G742" i="1" a="1"/>
  <c r="G742" i="1" s="1"/>
  <c r="G741" i="1" a="1"/>
  <c r="G741" i="1" s="1"/>
  <c r="G740" i="1" a="1"/>
  <c r="G740" i="1" s="1"/>
  <c r="G739" i="1" a="1"/>
  <c r="G739" i="1" s="1"/>
  <c r="G738" i="1" a="1"/>
  <c r="G738" i="1" s="1"/>
  <c r="G737" i="1" a="1"/>
  <c r="G737" i="1" s="1"/>
  <c r="G736" i="1" a="1"/>
  <c r="G736" i="1" s="1"/>
  <c r="G735" i="1" a="1"/>
  <c r="G735" i="1" s="1"/>
  <c r="G734" i="1" a="1"/>
  <c r="G734" i="1" s="1"/>
  <c r="G733" i="1" a="1"/>
  <c r="G733" i="1" s="1"/>
  <c r="G732" i="1" a="1"/>
  <c r="G732" i="1" s="1"/>
  <c r="G731" i="1" a="1"/>
  <c r="G731" i="1" s="1"/>
  <c r="G730" i="1" a="1"/>
  <c r="G730" i="1" s="1"/>
  <c r="G729" i="1" a="1"/>
  <c r="G729" i="1" s="1"/>
  <c r="G728" i="1" a="1"/>
  <c r="G728" i="1" s="1"/>
  <c r="G727" i="1" a="1"/>
  <c r="G727" i="1" s="1"/>
  <c r="G726" i="1" a="1"/>
  <c r="G726" i="1" s="1"/>
  <c r="G725" i="1" a="1"/>
  <c r="G725" i="1" s="1"/>
  <c r="G724" i="1" a="1"/>
  <c r="G724" i="1" s="1"/>
  <c r="G723" i="1" a="1"/>
  <c r="G723" i="1" s="1"/>
  <c r="G722" i="1" a="1"/>
  <c r="G722" i="1" s="1"/>
  <c r="G721" i="1" a="1"/>
  <c r="G721" i="1" s="1"/>
  <c r="G720" i="1" a="1"/>
  <c r="G720" i="1" s="1"/>
  <c r="G719" i="1" a="1"/>
  <c r="G719" i="1" s="1"/>
  <c r="G718" i="1" a="1"/>
  <c r="G718" i="1" s="1"/>
  <c r="G717" i="1" a="1"/>
  <c r="G717" i="1" s="1"/>
  <c r="G716" i="1" a="1"/>
  <c r="G716" i="1" s="1"/>
  <c r="G715" i="1" a="1"/>
  <c r="G715" i="1" s="1"/>
  <c r="G714" i="1" a="1"/>
  <c r="G714" i="1" s="1"/>
  <c r="G713" i="1" a="1"/>
  <c r="G713" i="1" s="1"/>
  <c r="G712" i="1" a="1"/>
  <c r="G712" i="1" s="1"/>
  <c r="G711" i="1" a="1"/>
  <c r="G711" i="1" s="1"/>
  <c r="G710" i="1" a="1"/>
  <c r="G710" i="1" s="1"/>
  <c r="G709" i="1" a="1"/>
  <c r="G709" i="1" s="1"/>
  <c r="G708" i="1" a="1"/>
  <c r="G708" i="1" s="1"/>
  <c r="G707" i="1" a="1"/>
  <c r="G707" i="1" s="1"/>
  <c r="G706" i="1" a="1"/>
  <c r="G706" i="1" s="1"/>
  <c r="G705" i="1" a="1"/>
  <c r="G705" i="1" s="1"/>
  <c r="G704" i="1" a="1"/>
  <c r="G704" i="1" s="1"/>
  <c r="G703" i="1" a="1"/>
  <c r="G703" i="1" s="1"/>
  <c r="G702" i="1" a="1"/>
  <c r="G702" i="1" s="1"/>
  <c r="G701" i="1" a="1"/>
  <c r="G701" i="1" s="1"/>
  <c r="G700" i="1" a="1"/>
  <c r="G700" i="1" s="1"/>
  <c r="G699" i="1" a="1"/>
  <c r="G699" i="1" s="1"/>
  <c r="G698" i="1" a="1"/>
  <c r="G698" i="1" s="1"/>
  <c r="G697" i="1" a="1"/>
  <c r="G697" i="1" s="1"/>
  <c r="G696" i="1" a="1"/>
  <c r="G696" i="1" s="1"/>
  <c r="G695" i="1" a="1"/>
  <c r="G695" i="1" s="1"/>
  <c r="G694" i="1" a="1"/>
  <c r="G694" i="1" s="1"/>
  <c r="G693" i="1" a="1"/>
  <c r="G693" i="1" s="1"/>
  <c r="G692" i="1" a="1"/>
  <c r="G692" i="1" s="1"/>
  <c r="G691" i="1" a="1"/>
  <c r="G691" i="1" s="1"/>
  <c r="G690" i="1" a="1"/>
  <c r="G690" i="1" s="1"/>
  <c r="G689" i="1" a="1"/>
  <c r="G689" i="1" s="1"/>
  <c r="G688" i="1" a="1"/>
  <c r="G688" i="1" s="1"/>
  <c r="G687" i="1" a="1"/>
  <c r="G687" i="1" s="1"/>
  <c r="G686" i="1" a="1"/>
  <c r="G686" i="1" s="1"/>
  <c r="G685" i="1" a="1"/>
  <c r="G685" i="1" s="1"/>
  <c r="G684" i="1" a="1"/>
  <c r="G684" i="1" s="1"/>
  <c r="G683" i="1" a="1"/>
  <c r="G683" i="1" s="1"/>
  <c r="G682" i="1" a="1"/>
  <c r="G682" i="1" s="1"/>
  <c r="G681" i="1" a="1"/>
  <c r="G681" i="1" s="1"/>
  <c r="G680" i="1" a="1"/>
  <c r="G680" i="1" s="1"/>
  <c r="G679" i="1" a="1"/>
  <c r="G679" i="1" s="1"/>
  <c r="G678" i="1" a="1"/>
  <c r="G678" i="1" s="1"/>
  <c r="G677" i="1" a="1"/>
  <c r="G677" i="1" s="1"/>
  <c r="G676" i="1" a="1"/>
  <c r="G676" i="1" s="1"/>
  <c r="G675" i="1" a="1"/>
  <c r="G675" i="1" s="1"/>
  <c r="G674" i="1" a="1"/>
  <c r="G674" i="1" s="1"/>
  <c r="G673" i="1" a="1"/>
  <c r="G673" i="1" s="1"/>
  <c r="G672" i="1" a="1"/>
  <c r="G672" i="1" s="1"/>
  <c r="G671" i="1" a="1"/>
  <c r="G671" i="1" s="1"/>
  <c r="G670" i="1" a="1"/>
  <c r="G670" i="1" s="1"/>
  <c r="G669" i="1" a="1"/>
  <c r="G669" i="1" s="1"/>
  <c r="G668" i="1" a="1"/>
  <c r="G668" i="1" s="1"/>
  <c r="G667" i="1" a="1"/>
  <c r="G667" i="1" s="1"/>
  <c r="G666" i="1" a="1"/>
  <c r="G666" i="1" s="1"/>
  <c r="G665" i="1" a="1"/>
  <c r="G665" i="1" s="1"/>
  <c r="G664" i="1" a="1"/>
  <c r="G664" i="1" s="1"/>
  <c r="G663" i="1" a="1"/>
  <c r="G663" i="1" s="1"/>
  <c r="G662" i="1" a="1"/>
  <c r="G662" i="1" s="1"/>
  <c r="P42" i="1"/>
  <c r="P43" i="1"/>
  <c r="P44" i="1"/>
  <c r="P24" i="1"/>
  <c r="P25" i="1"/>
  <c r="P26" i="1"/>
  <c r="P27" i="1"/>
  <c r="P28" i="1"/>
  <c r="P29" i="1"/>
  <c r="P30" i="1"/>
  <c r="P31" i="1"/>
  <c r="P32" i="1"/>
  <c r="P33" i="1"/>
  <c r="P34" i="1"/>
  <c r="P35" i="1"/>
  <c r="P36" i="1"/>
  <c r="P37" i="1"/>
  <c r="P38" i="1"/>
  <c r="P39" i="1"/>
  <c r="P40" i="1"/>
  <c r="P41" i="1"/>
  <c r="P23" i="1"/>
  <c r="N23" i="1" a="1"/>
  <c r="N23" i="1" s="1"/>
  <c r="G524" i="1" a="1"/>
  <c r="G524" i="1" s="1"/>
  <c r="G658" i="1" a="1"/>
  <c r="G658" i="1" s="1"/>
  <c r="G649" i="1" a="1"/>
  <c r="G649"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50" i="1" a="1"/>
  <c r="G650" i="1" s="1"/>
  <c r="G651" i="1" a="1"/>
  <c r="G651" i="1" s="1"/>
  <c r="G652" i="1" a="1"/>
  <c r="G652" i="1" s="1"/>
  <c r="G653" i="1" a="1"/>
  <c r="G653" i="1" s="1"/>
  <c r="G654" i="1" a="1"/>
  <c r="G654" i="1" s="1"/>
  <c r="G655" i="1" a="1"/>
  <c r="G655" i="1" s="1"/>
  <c r="G656" i="1" a="1"/>
  <c r="G656" i="1" s="1"/>
  <c r="G657" i="1" a="1"/>
  <c r="G657" i="1" s="1"/>
  <c r="G659" i="1" a="1"/>
  <c r="G659" i="1" s="1"/>
  <c r="G660" i="1" a="1"/>
  <c r="G660" i="1" s="1"/>
  <c r="G661" i="1" a="1"/>
  <c r="G661" i="1" s="1"/>
  <c r="G578" i="1" a="1"/>
  <c r="G578" i="1" s="1"/>
  <c r="G577" i="1" a="1"/>
  <c r="G577" i="1" s="1"/>
  <c r="G575" i="1" a="1"/>
  <c r="G575" i="1" s="1"/>
  <c r="G570" i="1" a="1"/>
  <c r="G570" i="1" s="1"/>
  <c r="G571" i="1" a="1"/>
  <c r="G571" i="1" s="1"/>
  <c r="G572" i="1" a="1"/>
  <c r="G572" i="1" s="1"/>
  <c r="G573" i="1" a="1"/>
  <c r="G573" i="1" s="1"/>
  <c r="G574" i="1" a="1"/>
  <c r="G574" i="1" s="1"/>
  <c r="G576" i="1" a="1"/>
  <c r="G576" i="1" s="1"/>
  <c r="G569" i="1" a="1"/>
  <c r="G569"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52" i="1" a="1"/>
  <c r="G552" i="1" s="1"/>
  <c r="G551" i="1" a="1"/>
  <c r="G551" i="1" s="1"/>
  <c r="G553" i="1" a="1"/>
  <c r="G553" i="1" s="1"/>
  <c r="G547" i="1" a="1"/>
  <c r="G547" i="1" s="1"/>
  <c r="G548" i="1" a="1"/>
  <c r="G548" i="1" s="1"/>
  <c r="G549" i="1" a="1"/>
  <c r="G549" i="1" s="1"/>
  <c r="G550" i="1" a="1"/>
  <c r="G550" i="1" s="1"/>
  <c r="G546" i="1" a="1"/>
  <c r="G546" i="1" s="1"/>
  <c r="G545" i="1" a="1"/>
  <c r="G545" i="1" s="1"/>
  <c r="G512" i="1" a="1"/>
  <c r="G512" i="1" s="1"/>
  <c r="G513" i="1" a="1"/>
  <c r="G513" i="1" s="1"/>
  <c r="G514" i="1" a="1"/>
  <c r="G514" i="1" s="1"/>
  <c r="G515" i="1" a="1"/>
  <c r="G515" i="1" s="1"/>
  <c r="G516" i="1" a="1"/>
  <c r="G516"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7" i="1" a="1"/>
  <c r="G517" i="1" s="1"/>
  <c r="G518" i="1" a="1"/>
  <c r="G518" i="1" s="1"/>
  <c r="G519" i="1" a="1"/>
  <c r="G519" i="1" s="1"/>
  <c r="G520" i="1" a="1"/>
  <c r="G520" i="1" s="1"/>
  <c r="G521" i="1" a="1"/>
  <c r="G521" i="1" s="1"/>
  <c r="G522" i="1" a="1"/>
  <c r="G522" i="1" s="1"/>
  <c r="G523" i="1" a="1"/>
  <c r="G523"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491" i="1" a="1"/>
  <c r="G491" i="1" s="1"/>
  <c r="G490" i="1" a="1"/>
  <c r="G490" i="1" s="1"/>
  <c r="G489" i="1" a="1"/>
  <c r="G489" i="1" s="1"/>
  <c r="G488" i="1" a="1"/>
  <c r="G488" i="1" s="1"/>
  <c r="G487" i="1" a="1"/>
  <c r="G487" i="1" s="1"/>
  <c r="G486" i="1" a="1"/>
  <c r="G486" i="1" s="1"/>
  <c r="G485" i="1" a="1"/>
  <c r="G485" i="1" s="1"/>
  <c r="G484" i="1" a="1"/>
  <c r="G484" i="1" s="1"/>
  <c r="G483" i="1" a="1"/>
  <c r="G483" i="1" s="1"/>
  <c r="G482" i="1" a="1"/>
  <c r="G482" i="1" s="1"/>
  <c r="G481" i="1" a="1"/>
  <c r="G481" i="1" s="1"/>
  <c r="G479" i="1" a="1"/>
  <c r="G479"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80" i="1" a="1"/>
  <c r="G480" i="1" s="1"/>
  <c r="G402" i="1" a="1"/>
  <c r="G402" i="1" s="1"/>
  <c r="G401" i="1" a="1"/>
  <c r="G401" i="1" s="1"/>
  <c r="G393" i="1" a="1"/>
  <c r="G393" i="1" s="1"/>
  <c r="G394" i="1" a="1"/>
  <c r="G394" i="1" s="1"/>
  <c r="G392" i="1" a="1"/>
  <c r="G392" i="1" s="1"/>
  <c r="G395" i="1" a="1"/>
  <c r="G395" i="1" s="1"/>
  <c r="G396" i="1" a="1"/>
  <c r="G396" i="1" s="1"/>
  <c r="G375" i="1" a="1"/>
  <c r="G375" i="1" s="1"/>
  <c r="T7" i="1"/>
  <c r="G376" i="1" a="1"/>
  <c r="G376" i="1" s="1"/>
  <c r="G374" i="1" a="1"/>
  <c r="G374" i="1" s="1"/>
  <c r="G343" i="1" a="1"/>
  <c r="G343"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37" i="1" a="1"/>
  <c r="G337" i="1" s="1"/>
  <c r="G338" i="1" a="1"/>
  <c r="G338" i="1" s="1"/>
  <c r="G339" i="1" a="1"/>
  <c r="G339" i="1" s="1"/>
  <c r="G340" i="1" a="1"/>
  <c r="G340" i="1" s="1"/>
  <c r="G341" i="1" a="1"/>
  <c r="G341" i="1" s="1"/>
  <c r="G342" i="1" a="1"/>
  <c r="G342"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7" i="1" a="1"/>
  <c r="G397" i="1" s="1"/>
  <c r="G398" i="1" a="1"/>
  <c r="G398" i="1" s="1"/>
  <c r="G399" i="1" a="1"/>
  <c r="G399" i="1" s="1"/>
  <c r="G400" i="1" a="1"/>
  <c r="G400" i="1" s="1"/>
  <c r="G305" i="1" a="1"/>
  <c r="G305" i="1" s="1"/>
  <c r="G306" i="1" a="1"/>
  <c r="G306" i="1" s="1"/>
  <c r="G307" i="1" a="1"/>
  <c r="G307" i="1" s="1"/>
  <c r="G308" i="1" a="1"/>
  <c r="G308" i="1" s="1"/>
  <c r="G309" i="1" a="1"/>
  <c r="G309" i="1" s="1"/>
  <c r="G310" i="1" a="1"/>
  <c r="G310" i="1" s="1"/>
  <c r="G311" i="1" a="1"/>
  <c r="G31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2" i="1" a="1"/>
  <c r="G302" i="1" s="1"/>
  <c r="G303" i="1" a="1"/>
  <c r="G303" i="1" s="1"/>
  <c r="G304" i="1" a="1"/>
  <c r="G304" i="1" s="1"/>
  <c r="G223" i="1" a="1"/>
  <c r="G223" i="1" s="1"/>
  <c r="G224" i="1" a="1"/>
  <c r="G224" i="1" s="1"/>
  <c r="G225" i="1" a="1"/>
  <c r="G225" i="1" s="1"/>
  <c r="G226" i="1" a="1"/>
  <c r="G226" i="1" s="1"/>
  <c r="G229" i="1" a="1"/>
  <c r="G229" i="1" s="1"/>
  <c r="G230" i="1" a="1"/>
  <c r="G230" i="1" s="1"/>
  <c r="G231" i="1" a="1"/>
  <c r="G231" i="1" s="1"/>
  <c r="G227" i="1" a="1"/>
  <c r="G227" i="1" s="1"/>
  <c r="G228" i="1" a="1"/>
  <c r="G228" i="1" s="1"/>
  <c r="G232" i="1" a="1"/>
  <c r="G232" i="1" s="1"/>
  <c r="G233" i="1" a="1"/>
  <c r="G233" i="1" s="1"/>
  <c r="G234" i="1" a="1"/>
  <c r="G234" i="1" s="1"/>
  <c r="G235" i="1" a="1"/>
  <c r="G235" i="1" s="1"/>
  <c r="G236" i="1" a="1"/>
  <c r="G236" i="1" s="1"/>
  <c r="G237" i="1" a="1"/>
  <c r="G237" i="1" s="1"/>
  <c r="G217" i="1" a="1"/>
  <c r="G217" i="1" s="1"/>
  <c r="G195" i="1" a="1"/>
  <c r="G195" i="1" s="1"/>
  <c r="G196" i="1" a="1"/>
  <c r="G196" i="1" s="1"/>
  <c r="G188" i="1" a="1"/>
  <c r="G188" i="1" s="1"/>
  <c r="G186" i="1" a="1"/>
  <c r="G186" i="1" s="1"/>
  <c r="G168" i="1" a="1"/>
  <c r="G168" i="1" s="1"/>
  <c r="G165" i="1" a="1"/>
  <c r="G165" i="1" s="1"/>
  <c r="G156" i="1" a="1"/>
  <c r="G156" i="1" s="1"/>
  <c r="G157" i="1" a="1"/>
  <c r="G157" i="1" s="1"/>
  <c r="G15" i="1" a="1"/>
  <c r="G15" i="1" s="1"/>
  <c r="G26" i="1" a="1"/>
  <c r="G26" i="1" s="1"/>
  <c r="G163" i="1" a="1"/>
  <c r="G163" i="1" s="1"/>
  <c r="G164" i="1" a="1"/>
  <c r="G164" i="1" s="1"/>
  <c r="G134" i="1" a="1"/>
  <c r="G134" i="1" s="1"/>
  <c r="G135" i="1" a="1"/>
  <c r="G135" i="1" s="1"/>
  <c r="G136" i="1" a="1"/>
  <c r="G136" i="1" s="1"/>
  <c r="G137" i="1" a="1"/>
  <c r="G137" i="1" s="1"/>
  <c r="M6" i="1" a="1"/>
  <c r="G125" i="1" a="1"/>
  <c r="G125" i="1" s="1"/>
  <c r="T6" i="1"/>
  <c r="G173" i="1" a="1"/>
  <c r="G173" i="1" s="1"/>
  <c r="G174" i="1" a="1"/>
  <c r="G174" i="1" s="1"/>
  <c r="G176" i="1" a="1"/>
  <c r="G176" i="1" s="1"/>
  <c r="G178" i="1" a="1"/>
  <c r="G178" i="1" s="1"/>
  <c r="G179" i="1" a="1"/>
  <c r="G179" i="1" s="1"/>
  <c r="G175" i="1" a="1"/>
  <c r="G175" i="1" s="1"/>
  <c r="G177" i="1" a="1"/>
  <c r="G177" i="1" s="1"/>
  <c r="G158" i="1" a="1"/>
  <c r="G158" i="1" s="1"/>
  <c r="G180" i="1" a="1"/>
  <c r="G180" i="1" s="1"/>
  <c r="G150" i="1" a="1"/>
  <c r="G150" i="1" s="1"/>
  <c r="G181" i="1" a="1"/>
  <c r="G181" i="1" s="1"/>
  <c r="G182" i="1" a="1"/>
  <c r="G182" i="1" s="1"/>
  <c r="G183" i="1" a="1"/>
  <c r="G183" i="1" s="1"/>
  <c r="G184" i="1" a="1"/>
  <c r="G184" i="1" s="1"/>
  <c r="G185" i="1" a="1"/>
  <c r="G185" i="1" s="1"/>
  <c r="G190" i="1" a="1"/>
  <c r="G190" i="1" s="1"/>
  <c r="G191" i="1" a="1"/>
  <c r="G191" i="1" s="1"/>
  <c r="G192" i="1" a="1"/>
  <c r="G192" i="1" s="1"/>
  <c r="G193" i="1" a="1"/>
  <c r="G193" i="1" s="1"/>
  <c r="G194" i="1" a="1"/>
  <c r="G194" i="1" s="1"/>
  <c r="G197" i="1" a="1"/>
  <c r="G197"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189" i="1" a="1"/>
  <c r="G189" i="1" s="1"/>
  <c r="G216" i="1" a="1"/>
  <c r="G216" i="1" s="1"/>
  <c r="G218" i="1" a="1"/>
  <c r="G218" i="1" s="1"/>
  <c r="G219" i="1" a="1"/>
  <c r="G219" i="1" s="1"/>
  <c r="G220" i="1" a="1"/>
  <c r="G220" i="1" s="1"/>
  <c r="G221" i="1" a="1"/>
  <c r="G221" i="1" s="1"/>
  <c r="G222" i="1" a="1"/>
  <c r="G222" i="1" s="1"/>
  <c r="G238" i="1" a="1"/>
  <c r="G238" i="1" s="1"/>
  <c r="G239" i="1" a="1"/>
  <c r="G239" i="1" s="1"/>
  <c r="G240" i="1" a="1"/>
  <c r="G240" i="1" s="1"/>
  <c r="G242" i="1" a="1"/>
  <c r="G242" i="1" s="1"/>
  <c r="G243" i="1" a="1"/>
  <c r="G243" i="1" s="1"/>
  <c r="G244" i="1" a="1"/>
  <c r="G244" i="1" s="1"/>
  <c r="G245" i="1" a="1"/>
  <c r="G245" i="1" s="1"/>
  <c r="G241" i="1" a="1"/>
  <c r="G241"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111" i="1" a="1"/>
  <c r="G111" i="1" s="1"/>
  <c r="G13" i="1" a="1"/>
  <c r="G13" i="1" s="1"/>
  <c r="T9" i="1"/>
  <c r="G33" i="1" a="1"/>
  <c r="G33" i="1" s="1"/>
  <c r="G17" i="1" a="1"/>
  <c r="G17" i="1" s="1"/>
  <c r="G12" i="1" a="1"/>
  <c r="G12" i="1" s="1"/>
  <c r="G57" i="1" a="1"/>
  <c r="G57" i="1" s="1"/>
  <c r="G58" i="1" a="1"/>
  <c r="G58" i="1" s="1"/>
  <c r="G59" i="1" a="1"/>
  <c r="G59" i="1" s="1"/>
  <c r="G60" i="1" a="1"/>
  <c r="G60" i="1" s="1"/>
  <c r="G61" i="1" a="1"/>
  <c r="G61" i="1" s="1"/>
  <c r="G62" i="1" a="1"/>
  <c r="G62" i="1" s="1"/>
  <c r="G63" i="1" a="1"/>
  <c r="G63" i="1" s="1"/>
  <c r="G64" i="1" a="1"/>
  <c r="G64" i="1" s="1"/>
  <c r="G49" i="1" a="1"/>
  <c r="G49" i="1" s="1"/>
  <c r="G50" i="1" a="1"/>
  <c r="G50" i="1" s="1"/>
  <c r="G51" i="1" a="1"/>
  <c r="G51" i="1" s="1"/>
  <c r="G52" i="1" a="1"/>
  <c r="G52" i="1" s="1"/>
  <c r="G53" i="1" a="1"/>
  <c r="G53" i="1" s="1"/>
  <c r="G54" i="1" a="1"/>
  <c r="G54" i="1" s="1"/>
  <c r="G55" i="1" a="1"/>
  <c r="G55" i="1" s="1"/>
  <c r="G56" i="1" a="1"/>
  <c r="G56" i="1" s="1"/>
  <c r="G40" i="1" a="1"/>
  <c r="G40" i="1" s="1"/>
  <c r="G41" i="1" a="1"/>
  <c r="G41" i="1" s="1"/>
  <c r="G42" i="1" a="1"/>
  <c r="G42" i="1" s="1"/>
  <c r="G43" i="1" a="1"/>
  <c r="G43" i="1" s="1"/>
  <c r="G44" i="1" a="1"/>
  <c r="G44" i="1" s="1"/>
  <c r="G45" i="1" a="1"/>
  <c r="G45" i="1" s="1"/>
  <c r="G46" i="1" a="1"/>
  <c r="G46" i="1" s="1"/>
  <c r="G47" i="1" a="1"/>
  <c r="G47" i="1" s="1"/>
  <c r="G48" i="1" a="1"/>
  <c r="G48" i="1" s="1"/>
  <c r="G28" i="1" a="1"/>
  <c r="G28" i="1" s="1"/>
  <c r="G29" i="1" a="1"/>
  <c r="G29" i="1" s="1"/>
  <c r="G23" i="1" a="1"/>
  <c r="G23" i="1" s="1"/>
  <c r="G34" i="1" a="1"/>
  <c r="G34" i="1" s="1"/>
  <c r="G35" i="1" a="1"/>
  <c r="G35" i="1" s="1"/>
  <c r="G36" i="1" a="1"/>
  <c r="G36" i="1" s="1"/>
  <c r="G37" i="1" a="1"/>
  <c r="G37" i="1" s="1"/>
  <c r="G38" i="1" a="1"/>
  <c r="G38" i="1" s="1"/>
  <c r="G39" i="1" a="1"/>
  <c r="G39" i="1" s="1"/>
  <c r="G30" i="1" a="1"/>
  <c r="G30" i="1" s="1"/>
  <c r="G31" i="1" a="1"/>
  <c r="G31" i="1" s="1"/>
  <c r="G32" i="1" a="1"/>
  <c r="G32" i="1" s="1"/>
  <c r="G18" i="1" a="1"/>
  <c r="G18" i="1" s="1"/>
  <c r="G19" i="1" a="1"/>
  <c r="G19" i="1" s="1"/>
  <c r="G20" i="1" a="1"/>
  <c r="G20" i="1" s="1"/>
  <c r="G21" i="1" a="1"/>
  <c r="G21" i="1" s="1"/>
  <c r="G22" i="1" a="1"/>
  <c r="G22" i="1" s="1"/>
  <c r="G14" i="1" a="1"/>
  <c r="G14" i="1" s="1"/>
  <c r="G16" i="1" a="1"/>
  <c r="G16" i="1" s="1"/>
  <c r="G9" i="1" a="1"/>
  <c r="G9" i="1" s="1"/>
  <c r="G10" i="1" a="1"/>
  <c r="G10" i="1" s="1"/>
  <c r="G11" i="1" a="1"/>
  <c r="G11" i="1" s="1"/>
  <c r="G24" i="1" a="1"/>
  <c r="G24" i="1" s="1"/>
  <c r="G25" i="1" a="1"/>
  <c r="G25" i="1" s="1"/>
  <c r="G88" i="1" a="1"/>
  <c r="G88" i="1" s="1"/>
  <c r="G89" i="1" a="1"/>
  <c r="G89" i="1" s="1"/>
  <c r="G90" i="1" a="1"/>
  <c r="G90" i="1" s="1"/>
  <c r="G91" i="1" a="1"/>
  <c r="G91" i="1" s="1"/>
  <c r="G82" i="1" a="1"/>
  <c r="G82" i="1" s="1"/>
  <c r="G83" i="1" a="1"/>
  <c r="G83" i="1" s="1"/>
  <c r="G84" i="1" a="1"/>
  <c r="G84" i="1" s="1"/>
  <c r="G85" i="1" a="1"/>
  <c r="G85" i="1" s="1"/>
  <c r="G86" i="1" a="1"/>
  <c r="G86" i="1" s="1"/>
  <c r="G87" i="1" a="1"/>
  <c r="G87" i="1" s="1"/>
  <c r="G78" i="1" a="1"/>
  <c r="G78" i="1" s="1"/>
  <c r="G79" i="1" a="1"/>
  <c r="G79" i="1" s="1"/>
  <c r="G80" i="1" a="1"/>
  <c r="G80" i="1" s="1"/>
  <c r="G81" i="1" a="1"/>
  <c r="G81" i="1" s="1"/>
  <c r="G72" i="1" a="1"/>
  <c r="G72" i="1" s="1"/>
  <c r="G73" i="1" a="1"/>
  <c r="G73" i="1" s="1"/>
  <c r="G74" i="1" a="1"/>
  <c r="G74" i="1" s="1"/>
  <c r="G75" i="1" a="1"/>
  <c r="G75" i="1" s="1"/>
  <c r="G76" i="1" a="1"/>
  <c r="G76" i="1" s="1"/>
  <c r="G77" i="1" a="1"/>
  <c r="G77" i="1" s="1"/>
  <c r="G65" i="1" a="1"/>
  <c r="G65" i="1" s="1"/>
  <c r="G66" i="1" a="1"/>
  <c r="G66" i="1" s="1"/>
  <c r="G67" i="1" a="1"/>
  <c r="G67" i="1" s="1"/>
  <c r="G68" i="1" a="1"/>
  <c r="G68" i="1" s="1"/>
  <c r="G69" i="1" a="1"/>
  <c r="G69" i="1" s="1"/>
  <c r="G70" i="1" a="1"/>
  <c r="G70" i="1" s="1"/>
  <c r="G6" i="1" a="1"/>
  <c r="G6" i="1" s="1"/>
  <c r="G7" i="1" a="1"/>
  <c r="G7" i="1" s="1"/>
  <c r="G8" i="1" a="1"/>
  <c r="G8" i="1" s="1"/>
  <c r="G27" i="1" a="1"/>
  <c r="G27" i="1" s="1"/>
  <c r="G71" i="1" a="1"/>
  <c r="G71" i="1" s="1"/>
  <c r="G92" i="1" a="1"/>
  <c r="G92" i="1" s="1"/>
  <c r="G93" i="1" a="1"/>
  <c r="G93" i="1" s="1"/>
  <c r="G94" i="1" a="1"/>
  <c r="G94" i="1" s="1"/>
  <c r="G95" i="1" a="1"/>
  <c r="G95" i="1" s="1"/>
  <c r="G96" i="1" a="1"/>
  <c r="G96" i="1" s="1"/>
  <c r="G97" i="1" a="1"/>
  <c r="G97" i="1" s="1"/>
  <c r="G98" i="1" a="1"/>
  <c r="G98" i="1" s="1"/>
  <c r="G99" i="1" a="1"/>
  <c r="G99" i="1" s="1"/>
  <c r="G100" i="1" a="1"/>
  <c r="G100" i="1" s="1"/>
  <c r="G5" i="1" a="1"/>
  <c r="G5"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8" i="1" a="1"/>
  <c r="G128" i="1" s="1"/>
  <c r="G129" i="1" a="1"/>
  <c r="G129" i="1" s="1"/>
  <c r="G130" i="1" a="1"/>
  <c r="G130" i="1" s="1"/>
  <c r="G131" i="1" a="1"/>
  <c r="G131" i="1" s="1"/>
  <c r="G132" i="1" a="1"/>
  <c r="G132" i="1" s="1"/>
  <c r="G133" i="1" a="1"/>
  <c r="G133" i="1" s="1"/>
  <c r="G127" i="1" a="1"/>
  <c r="G127"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1" i="1" a="1"/>
  <c r="G151" i="1" s="1"/>
  <c r="G152" i="1" a="1"/>
  <c r="G152" i="1" s="1"/>
  <c r="G153" i="1" a="1"/>
  <c r="G153" i="1" s="1"/>
  <c r="G154" i="1" a="1"/>
  <c r="G154" i="1" s="1"/>
  <c r="G155" i="1" a="1"/>
  <c r="G155" i="1" s="1"/>
  <c r="G159" i="1" a="1"/>
  <c r="G159" i="1" s="1"/>
  <c r="G160" i="1" a="1"/>
  <c r="G160" i="1" s="1"/>
  <c r="G161" i="1" a="1"/>
  <c r="G161" i="1" s="1"/>
  <c r="G162" i="1" a="1"/>
  <c r="G162" i="1" s="1"/>
  <c r="G166" i="1" a="1"/>
  <c r="G166" i="1" s="1"/>
  <c r="G167" i="1" a="1"/>
  <c r="G167" i="1" s="1"/>
  <c r="G169" i="1" a="1"/>
  <c r="G169" i="1" s="1"/>
  <c r="G170" i="1" a="1"/>
  <c r="G170" i="1" s="1"/>
  <c r="G171" i="1" a="1"/>
  <c r="G171" i="1" s="1"/>
  <c r="G172" i="1" a="1"/>
  <c r="G172" i="1" s="1"/>
  <c r="N66" i="1" l="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56" i="1"/>
  <c r="N57" i="1"/>
  <c r="N58" i="1"/>
  <c r="N59" i="1"/>
  <c r="N60" i="1"/>
  <c r="N61" i="1"/>
  <c r="N62" i="1"/>
  <c r="N63" i="1"/>
  <c r="N64" i="1"/>
  <c r="N65" i="1"/>
  <c r="O40" i="1"/>
  <c r="S40" i="1" s="1"/>
  <c r="O41" i="1"/>
  <c r="S41" i="1" s="1"/>
  <c r="O42" i="1"/>
  <c r="S42" i="1" s="1"/>
  <c r="O43" i="1"/>
  <c r="S43" i="1" s="1"/>
  <c r="O44" i="1"/>
  <c r="S44" i="1" s="1"/>
  <c r="O39" i="1"/>
  <c r="S39" i="1" s="1"/>
  <c r="O35" i="1"/>
  <c r="S35" i="1" s="1"/>
  <c r="O36" i="1"/>
  <c r="S36" i="1" s="1"/>
  <c r="O37" i="1"/>
  <c r="S37" i="1" s="1"/>
  <c r="O38" i="1"/>
  <c r="S38" i="1" s="1"/>
  <c r="O24" i="1"/>
  <c r="S24" i="1" s="1"/>
  <c r="O25" i="1"/>
  <c r="S25" i="1" s="1"/>
  <c r="O26" i="1"/>
  <c r="S26" i="1" s="1"/>
  <c r="O27" i="1"/>
  <c r="S27" i="1" s="1"/>
  <c r="O28" i="1"/>
  <c r="S28" i="1" s="1"/>
  <c r="O29" i="1"/>
  <c r="S29" i="1" s="1"/>
  <c r="O30" i="1"/>
  <c r="S30" i="1" s="1"/>
  <c r="O31" i="1"/>
  <c r="S31" i="1" s="1"/>
  <c r="O32" i="1"/>
  <c r="S32" i="1" s="1"/>
  <c r="O33" i="1"/>
  <c r="S33" i="1" s="1"/>
  <c r="O34" i="1"/>
  <c r="S34" i="1" s="1"/>
  <c r="O23" i="1"/>
  <c r="T8" i="1"/>
  <c r="O7" i="1"/>
  <c r="O8" i="1"/>
  <c r="O9" i="1"/>
  <c r="O10" i="1"/>
  <c r="O11" i="1"/>
  <c r="N7" i="1"/>
  <c r="N8" i="1"/>
  <c r="N9" i="1"/>
  <c r="N10" i="1"/>
  <c r="N11" i="1"/>
  <c r="M6" i="1"/>
  <c r="N6" i="1" s="1"/>
  <c r="N13" i="1" l="1"/>
  <c r="N16" i="1" s="1"/>
  <c r="N18" i="1" s="1"/>
  <c r="O55" i="1" a="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Q15" i="1"/>
  <c r="P15" i="1"/>
  <c r="S23" i="1"/>
  <c r="S47" i="1" s="1" a="1"/>
  <c r="S47" i="1" s="1"/>
  <c r="O46" i="1"/>
  <c r="Q42" i="1"/>
  <c r="R42" i="1" s="1"/>
  <c r="Q41" i="1"/>
  <c r="R41" i="1" s="1"/>
  <c r="Q40" i="1"/>
  <c r="R40" i="1" s="1"/>
  <c r="Q23" i="1"/>
  <c r="R23" i="1" s="1"/>
  <c r="Q34" i="1"/>
  <c r="R34" i="1" s="1"/>
  <c r="Q33" i="1"/>
  <c r="R33" i="1" s="1"/>
  <c r="Q32" i="1"/>
  <c r="R32" i="1" s="1"/>
  <c r="Q31" i="1"/>
  <c r="R31" i="1" s="1"/>
  <c r="Q30" i="1"/>
  <c r="R30" i="1" s="1"/>
  <c r="Q29" i="1"/>
  <c r="R29" i="1" s="1"/>
  <c r="Q28" i="1"/>
  <c r="R28" i="1" s="1"/>
  <c r="Q27" i="1"/>
  <c r="R27" i="1" s="1"/>
  <c r="Q26" i="1"/>
  <c r="R26" i="1" s="1"/>
  <c r="Q25" i="1"/>
  <c r="R25" i="1" s="1"/>
  <c r="Q24" i="1"/>
  <c r="R24" i="1" s="1"/>
  <c r="Q38" i="1"/>
  <c r="R38" i="1" s="1"/>
  <c r="Q37" i="1"/>
  <c r="R37" i="1" s="1"/>
  <c r="Q36" i="1"/>
  <c r="R36" i="1" s="1"/>
  <c r="Q35" i="1"/>
  <c r="R35" i="1" s="1"/>
  <c r="Q39" i="1"/>
  <c r="R39" i="1" s="1"/>
  <c r="Q44" i="1"/>
  <c r="R44" i="1" s="1"/>
  <c r="Q43" i="1"/>
  <c r="R43" i="1" s="1"/>
  <c r="P9" i="1"/>
  <c r="P8" i="1"/>
  <c r="P10" i="1"/>
  <c r="P11" i="1"/>
  <c r="O6" i="1"/>
  <c r="O13" i="1" s="1"/>
  <c r="O15" i="1"/>
  <c r="P7" i="1"/>
  <c r="T10" i="1"/>
  <c r="T11" i="1" s="1"/>
  <c r="P77" i="1" l="1"/>
  <c r="P454" i="1"/>
  <c r="P486" i="1"/>
  <c r="P490" i="1"/>
  <c r="P502" i="1"/>
  <c r="P506" i="1"/>
  <c r="P510" i="1"/>
  <c r="P514" i="1"/>
  <c r="P518" i="1"/>
  <c r="P522" i="1"/>
  <c r="P526" i="1"/>
  <c r="P530" i="1"/>
  <c r="P534" i="1"/>
  <c r="P538" i="1"/>
  <c r="P542" i="1"/>
  <c r="P546" i="1"/>
  <c r="P550" i="1"/>
  <c r="P554" i="1"/>
  <c r="P558" i="1"/>
  <c r="P562" i="1"/>
  <c r="P566" i="1"/>
  <c r="P777" i="1"/>
  <c r="P569" i="1"/>
  <c r="P570" i="1"/>
  <c r="P573" i="1"/>
  <c r="P574" i="1"/>
  <c r="P577" i="1"/>
  <c r="P578" i="1"/>
  <c r="P581" i="1"/>
  <c r="P582" i="1"/>
  <c r="P585" i="1"/>
  <c r="P586" i="1"/>
  <c r="P589" i="1"/>
  <c r="P590" i="1"/>
  <c r="P593" i="1"/>
  <c r="P594" i="1"/>
  <c r="P597" i="1"/>
  <c r="P598" i="1"/>
  <c r="P601" i="1"/>
  <c r="P602" i="1"/>
  <c r="P605" i="1"/>
  <c r="P606" i="1"/>
  <c r="P609" i="1"/>
  <c r="P610" i="1"/>
  <c r="P613" i="1"/>
  <c r="P614" i="1"/>
  <c r="P617" i="1"/>
  <c r="P618" i="1"/>
  <c r="P621" i="1"/>
  <c r="P622" i="1"/>
  <c r="P625" i="1"/>
  <c r="P626" i="1"/>
  <c r="P629" i="1"/>
  <c r="P630" i="1"/>
  <c r="P633" i="1"/>
  <c r="P766" i="1"/>
  <c r="P770" i="1"/>
  <c r="P778" i="1"/>
  <c r="P634" i="1"/>
  <c r="P637" i="1"/>
  <c r="P638" i="1"/>
  <c r="P641" i="1"/>
  <c r="P642" i="1"/>
  <c r="P645" i="1"/>
  <c r="P646" i="1"/>
  <c r="P649" i="1"/>
  <c r="P650" i="1"/>
  <c r="P653" i="1"/>
  <c r="P654" i="1"/>
  <c r="P657" i="1"/>
  <c r="P658"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10" i="1"/>
  <c r="P711" i="1"/>
  <c r="P712" i="1"/>
  <c r="P736" i="1"/>
  <c r="P739" i="1"/>
  <c r="P743" i="1"/>
  <c r="P749" i="1"/>
  <c r="P757" i="1"/>
  <c r="P763" i="1"/>
  <c r="P773" i="1"/>
  <c r="P709" i="1"/>
  <c r="P740" i="1"/>
  <c r="P745" i="1"/>
  <c r="P746" i="1"/>
  <c r="P750" i="1"/>
  <c r="P752" i="1"/>
  <c r="P754" i="1"/>
  <c r="P758" i="1"/>
  <c r="P760" i="1"/>
  <c r="P764" i="1"/>
  <c r="P771" i="1"/>
  <c r="P776" i="1"/>
  <c r="P713" i="1"/>
  <c r="P714" i="1"/>
  <c r="P715" i="1"/>
  <c r="P716" i="1"/>
  <c r="P717" i="1"/>
  <c r="P718" i="1"/>
  <c r="P719" i="1"/>
  <c r="P720" i="1"/>
  <c r="P721" i="1"/>
  <c r="P722" i="1"/>
  <c r="P723" i="1"/>
  <c r="P724" i="1"/>
  <c r="P725" i="1"/>
  <c r="P726" i="1"/>
  <c r="P727" i="1"/>
  <c r="P728" i="1"/>
  <c r="P729" i="1"/>
  <c r="P731" i="1"/>
  <c r="P732" i="1"/>
  <c r="P733" i="1"/>
  <c r="P735" i="1"/>
  <c r="P737" i="1"/>
  <c r="P741" i="1"/>
  <c r="P744" i="1"/>
  <c r="P747" i="1"/>
  <c r="P751" i="1"/>
  <c r="P753" i="1"/>
  <c r="P755" i="1"/>
  <c r="P759" i="1"/>
  <c r="P761" i="1"/>
  <c r="P765" i="1"/>
  <c r="P768" i="1"/>
  <c r="P772" i="1"/>
  <c r="P775" i="1"/>
  <c r="P730" i="1"/>
  <c r="P734" i="1"/>
  <c r="P738" i="1"/>
  <c r="P742" i="1"/>
  <c r="P748" i="1"/>
  <c r="P756" i="1"/>
  <c r="P762" i="1"/>
  <c r="P769" i="1"/>
  <c r="P774" i="1"/>
  <c r="P767"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67" i="1"/>
  <c r="P68" i="1"/>
  <c r="P69" i="1"/>
  <c r="P70" i="1"/>
  <c r="P71" i="1"/>
  <c r="P72" i="1"/>
  <c r="P73" i="1"/>
  <c r="P74" i="1"/>
  <c r="P75" i="1"/>
  <c r="P76" i="1"/>
  <c r="P56" i="1"/>
  <c r="P57" i="1"/>
  <c r="P58" i="1"/>
  <c r="P59" i="1"/>
  <c r="P60" i="1"/>
  <c r="P61" i="1"/>
  <c r="P62" i="1"/>
  <c r="P63" i="1"/>
  <c r="P64" i="1"/>
  <c r="P65" i="1"/>
  <c r="P66" i="1"/>
  <c r="O55" i="1"/>
  <c r="P92" i="1"/>
  <c r="P108" i="1"/>
  <c r="P124" i="1"/>
  <c r="P140" i="1"/>
  <c r="P156" i="1"/>
  <c r="P188" i="1"/>
  <c r="P204" i="1"/>
  <c r="P236" i="1"/>
  <c r="P252" i="1"/>
  <c r="P284" i="1"/>
  <c r="P316" i="1"/>
  <c r="P348" i="1"/>
  <c r="P375" i="1"/>
  <c r="P383" i="1"/>
  <c r="P399" i="1"/>
  <c r="P415" i="1"/>
  <c r="P426" i="1"/>
  <c r="P430" i="1"/>
  <c r="P438" i="1"/>
  <c r="P442" i="1"/>
  <c r="P450" i="1"/>
  <c r="P462" i="1"/>
  <c r="P470" i="1"/>
  <c r="P478" i="1"/>
  <c r="P494" i="1"/>
  <c r="P172" i="1"/>
  <c r="P220" i="1"/>
  <c r="P268" i="1"/>
  <c r="P300" i="1"/>
  <c r="P332" i="1"/>
  <c r="P364" i="1"/>
  <c r="P391" i="1"/>
  <c r="P407" i="1"/>
  <c r="P420" i="1"/>
  <c r="P434" i="1"/>
  <c r="P446" i="1"/>
  <c r="P458" i="1"/>
  <c r="P466" i="1"/>
  <c r="P474" i="1"/>
  <c r="P482" i="1"/>
  <c r="P498" i="1"/>
  <c r="P55" i="1"/>
  <c r="O53" i="1"/>
  <c r="P565" i="1"/>
  <c r="P561" i="1"/>
  <c r="P557" i="1"/>
  <c r="P553" i="1"/>
  <c r="P549" i="1"/>
  <c r="P545" i="1"/>
  <c r="P541" i="1"/>
  <c r="P537" i="1"/>
  <c r="P533" i="1"/>
  <c r="P529" i="1"/>
  <c r="P525" i="1"/>
  <c r="P521" i="1"/>
  <c r="P517" i="1"/>
  <c r="P513" i="1"/>
  <c r="P509" i="1"/>
  <c r="P505" i="1"/>
  <c r="P501" i="1"/>
  <c r="P497" i="1"/>
  <c r="P493" i="1"/>
  <c r="P489" i="1"/>
  <c r="P485" i="1"/>
  <c r="P481" i="1"/>
  <c r="P477" i="1"/>
  <c r="P473" i="1"/>
  <c r="P469" i="1"/>
  <c r="P465" i="1"/>
  <c r="P461" i="1"/>
  <c r="P457" i="1"/>
  <c r="P453" i="1"/>
  <c r="P449" i="1"/>
  <c r="P445" i="1"/>
  <c r="P441" i="1"/>
  <c r="P437" i="1"/>
  <c r="P433" i="1"/>
  <c r="P429" i="1"/>
  <c r="P424" i="1"/>
  <c r="P419" i="1"/>
  <c r="P412" i="1"/>
  <c r="P404" i="1"/>
  <c r="P396" i="1"/>
  <c r="P388" i="1"/>
  <c r="P380" i="1"/>
  <c r="P372" i="1"/>
  <c r="P360" i="1"/>
  <c r="P344" i="1"/>
  <c r="P328" i="1"/>
  <c r="P312" i="1"/>
  <c r="P296" i="1"/>
  <c r="P280" i="1"/>
  <c r="P264" i="1"/>
  <c r="P248" i="1"/>
  <c r="P232" i="1"/>
  <c r="P216" i="1"/>
  <c r="P200" i="1"/>
  <c r="P184" i="1"/>
  <c r="P168" i="1"/>
  <c r="P152" i="1"/>
  <c r="P136" i="1"/>
  <c r="P120" i="1"/>
  <c r="P104" i="1"/>
  <c r="P88" i="1"/>
  <c r="P656" i="1"/>
  <c r="P652" i="1"/>
  <c r="P648" i="1"/>
  <c r="P644" i="1"/>
  <c r="P640" i="1"/>
  <c r="P636" i="1"/>
  <c r="P632" i="1"/>
  <c r="P628" i="1"/>
  <c r="P624" i="1"/>
  <c r="P620" i="1"/>
  <c r="P616" i="1"/>
  <c r="P612" i="1"/>
  <c r="P608" i="1"/>
  <c r="P604" i="1"/>
  <c r="P600" i="1"/>
  <c r="P596" i="1"/>
  <c r="P592" i="1"/>
  <c r="P588" i="1"/>
  <c r="P584" i="1"/>
  <c r="P580" i="1"/>
  <c r="P576" i="1"/>
  <c r="P572" i="1"/>
  <c r="P568" i="1"/>
  <c r="P564" i="1"/>
  <c r="P560" i="1"/>
  <c r="P556" i="1"/>
  <c r="P552" i="1"/>
  <c r="P548" i="1"/>
  <c r="P544" i="1"/>
  <c r="P540" i="1"/>
  <c r="P536" i="1"/>
  <c r="P532" i="1"/>
  <c r="P528" i="1"/>
  <c r="P524" i="1"/>
  <c r="P520" i="1"/>
  <c r="P516" i="1"/>
  <c r="P512" i="1"/>
  <c r="P508" i="1"/>
  <c r="P504" i="1"/>
  <c r="P500" i="1"/>
  <c r="P496" i="1"/>
  <c r="P492" i="1"/>
  <c r="P488" i="1"/>
  <c r="P484" i="1"/>
  <c r="P480" i="1"/>
  <c r="P476" i="1"/>
  <c r="P472" i="1"/>
  <c r="P468" i="1"/>
  <c r="P464" i="1"/>
  <c r="P460" i="1"/>
  <c r="P456" i="1"/>
  <c r="P452" i="1"/>
  <c r="P448" i="1"/>
  <c r="P444" i="1"/>
  <c r="P440" i="1"/>
  <c r="P436" i="1"/>
  <c r="P432" i="1"/>
  <c r="P428" i="1"/>
  <c r="P423" i="1"/>
  <c r="P418" i="1"/>
  <c r="P411" i="1"/>
  <c r="P403" i="1"/>
  <c r="P395" i="1"/>
  <c r="P387" i="1"/>
  <c r="P379" i="1"/>
  <c r="P371" i="1"/>
  <c r="P356" i="1"/>
  <c r="P340" i="1"/>
  <c r="P324" i="1"/>
  <c r="P308" i="1"/>
  <c r="P292" i="1"/>
  <c r="P276" i="1"/>
  <c r="P260" i="1"/>
  <c r="P244" i="1"/>
  <c r="P228" i="1"/>
  <c r="P212" i="1"/>
  <c r="P196" i="1"/>
  <c r="P180" i="1"/>
  <c r="P164" i="1"/>
  <c r="P148" i="1"/>
  <c r="P132" i="1"/>
  <c r="P116" i="1"/>
  <c r="P100" i="1"/>
  <c r="P84" i="1"/>
  <c r="P659" i="1"/>
  <c r="P655" i="1"/>
  <c r="P651" i="1"/>
  <c r="P647" i="1"/>
  <c r="P643" i="1"/>
  <c r="P639" i="1"/>
  <c r="P635" i="1"/>
  <c r="P631" i="1"/>
  <c r="P627" i="1"/>
  <c r="P623" i="1"/>
  <c r="P619" i="1"/>
  <c r="P615" i="1"/>
  <c r="P611" i="1"/>
  <c r="P607" i="1"/>
  <c r="P603" i="1"/>
  <c r="P599" i="1"/>
  <c r="P595" i="1"/>
  <c r="P591" i="1"/>
  <c r="P587" i="1"/>
  <c r="P583" i="1"/>
  <c r="P579" i="1"/>
  <c r="P575" i="1"/>
  <c r="P571" i="1"/>
  <c r="P567" i="1"/>
  <c r="P563" i="1"/>
  <c r="P559" i="1"/>
  <c r="P555" i="1"/>
  <c r="P551" i="1"/>
  <c r="P547" i="1"/>
  <c r="P543" i="1"/>
  <c r="P539" i="1"/>
  <c r="P535" i="1"/>
  <c r="P531" i="1"/>
  <c r="P527" i="1"/>
  <c r="P523" i="1"/>
  <c r="P519" i="1"/>
  <c r="P515" i="1"/>
  <c r="P511" i="1"/>
  <c r="P507" i="1"/>
  <c r="P503" i="1"/>
  <c r="P499" i="1"/>
  <c r="P495" i="1"/>
  <c r="P491" i="1"/>
  <c r="P487" i="1"/>
  <c r="P483" i="1"/>
  <c r="P479" i="1"/>
  <c r="P475" i="1"/>
  <c r="P471" i="1"/>
  <c r="P467" i="1"/>
  <c r="P463" i="1"/>
  <c r="P459" i="1"/>
  <c r="P455" i="1"/>
  <c r="P451" i="1"/>
  <c r="P447" i="1"/>
  <c r="P443" i="1"/>
  <c r="P439" i="1"/>
  <c r="P435" i="1"/>
  <c r="P431" i="1"/>
  <c r="P427" i="1"/>
  <c r="P422" i="1"/>
  <c r="P416" i="1"/>
  <c r="P408" i="1"/>
  <c r="P400" i="1"/>
  <c r="P392" i="1"/>
  <c r="P384" i="1"/>
  <c r="P376" i="1"/>
  <c r="P368" i="1"/>
  <c r="P352" i="1"/>
  <c r="P336" i="1"/>
  <c r="P320" i="1"/>
  <c r="P304" i="1"/>
  <c r="P288" i="1"/>
  <c r="P272" i="1"/>
  <c r="P256" i="1"/>
  <c r="P240" i="1"/>
  <c r="P224" i="1"/>
  <c r="P208" i="1"/>
  <c r="P192" i="1"/>
  <c r="P176" i="1"/>
  <c r="P160" i="1"/>
  <c r="P144" i="1"/>
  <c r="P128" i="1"/>
  <c r="P112" i="1"/>
  <c r="P96" i="1"/>
  <c r="P80" i="1"/>
  <c r="P367" i="1"/>
  <c r="P363" i="1"/>
  <c r="P359" i="1"/>
  <c r="P355" i="1"/>
  <c r="P351" i="1"/>
  <c r="P347" i="1"/>
  <c r="P343" i="1"/>
  <c r="P339" i="1"/>
  <c r="P335" i="1"/>
  <c r="P331" i="1"/>
  <c r="P327" i="1"/>
  <c r="P323" i="1"/>
  <c r="P319" i="1"/>
  <c r="P315" i="1"/>
  <c r="P311" i="1"/>
  <c r="P307" i="1"/>
  <c r="P303" i="1"/>
  <c r="P299" i="1"/>
  <c r="P295" i="1"/>
  <c r="P291" i="1"/>
  <c r="P287" i="1"/>
  <c r="P283" i="1"/>
  <c r="P279" i="1"/>
  <c r="P275" i="1"/>
  <c r="P271" i="1"/>
  <c r="P267" i="1"/>
  <c r="P263" i="1"/>
  <c r="P259" i="1"/>
  <c r="P255" i="1"/>
  <c r="P251" i="1"/>
  <c r="P247" i="1"/>
  <c r="P243" i="1"/>
  <c r="P239" i="1"/>
  <c r="P235" i="1"/>
  <c r="P231" i="1"/>
  <c r="P227" i="1"/>
  <c r="P223" i="1"/>
  <c r="P219" i="1"/>
  <c r="P215" i="1"/>
  <c r="P211" i="1"/>
  <c r="P207" i="1"/>
  <c r="P203" i="1"/>
  <c r="P199" i="1"/>
  <c r="P195" i="1"/>
  <c r="P191" i="1"/>
  <c r="P187" i="1"/>
  <c r="P183" i="1"/>
  <c r="P179" i="1"/>
  <c r="P175" i="1"/>
  <c r="P171" i="1"/>
  <c r="P167" i="1"/>
  <c r="P163" i="1"/>
  <c r="P159" i="1"/>
  <c r="P155" i="1"/>
  <c r="P151" i="1"/>
  <c r="P147" i="1"/>
  <c r="P143" i="1"/>
  <c r="P139" i="1"/>
  <c r="P135" i="1"/>
  <c r="P131" i="1"/>
  <c r="P127" i="1"/>
  <c r="P123" i="1"/>
  <c r="P119" i="1"/>
  <c r="P115" i="1"/>
  <c r="P111" i="1"/>
  <c r="P107" i="1"/>
  <c r="P103" i="1"/>
  <c r="P99" i="1"/>
  <c r="P95" i="1"/>
  <c r="P91" i="1"/>
  <c r="P87" i="1"/>
  <c r="P83" i="1"/>
  <c r="P79" i="1"/>
  <c r="P414" i="1"/>
  <c r="P410" i="1"/>
  <c r="P406" i="1"/>
  <c r="P402" i="1"/>
  <c r="P398" i="1"/>
  <c r="P394" i="1"/>
  <c r="P390" i="1"/>
  <c r="P386" i="1"/>
  <c r="P382" i="1"/>
  <c r="P378" i="1"/>
  <c r="P374" i="1"/>
  <c r="P370" i="1"/>
  <c r="P366" i="1"/>
  <c r="P362" i="1"/>
  <c r="P358" i="1"/>
  <c r="P354" i="1"/>
  <c r="P350" i="1"/>
  <c r="P346" i="1"/>
  <c r="P342" i="1"/>
  <c r="P338" i="1"/>
  <c r="P334" i="1"/>
  <c r="P330" i="1"/>
  <c r="P326" i="1"/>
  <c r="P322" i="1"/>
  <c r="P318" i="1"/>
  <c r="P314" i="1"/>
  <c r="P310" i="1"/>
  <c r="P306" i="1"/>
  <c r="P302" i="1"/>
  <c r="P298" i="1"/>
  <c r="P294" i="1"/>
  <c r="P290" i="1"/>
  <c r="P286" i="1"/>
  <c r="P282" i="1"/>
  <c r="P278" i="1"/>
  <c r="P274" i="1"/>
  <c r="P270" i="1"/>
  <c r="P266" i="1"/>
  <c r="P262" i="1"/>
  <c r="P258" i="1"/>
  <c r="P254" i="1"/>
  <c r="P250" i="1"/>
  <c r="P246" i="1"/>
  <c r="P242" i="1"/>
  <c r="P238" i="1"/>
  <c r="P234" i="1"/>
  <c r="P230" i="1"/>
  <c r="P226" i="1"/>
  <c r="P222" i="1"/>
  <c r="P218" i="1"/>
  <c r="P214" i="1"/>
  <c r="P210" i="1"/>
  <c r="P206" i="1"/>
  <c r="P202" i="1"/>
  <c r="P198" i="1"/>
  <c r="P194" i="1"/>
  <c r="P190" i="1"/>
  <c r="P186" i="1"/>
  <c r="P182" i="1"/>
  <c r="P178" i="1"/>
  <c r="P174" i="1"/>
  <c r="P170" i="1"/>
  <c r="P166" i="1"/>
  <c r="P162" i="1"/>
  <c r="P158" i="1"/>
  <c r="P154" i="1"/>
  <c r="P150" i="1"/>
  <c r="P146" i="1"/>
  <c r="P142" i="1"/>
  <c r="P138" i="1"/>
  <c r="P134" i="1"/>
  <c r="P130" i="1"/>
  <c r="P126" i="1"/>
  <c r="P122" i="1"/>
  <c r="P118" i="1"/>
  <c r="P114" i="1"/>
  <c r="P110" i="1"/>
  <c r="P106" i="1"/>
  <c r="P102" i="1"/>
  <c r="P98" i="1"/>
  <c r="P94" i="1"/>
  <c r="P90" i="1"/>
  <c r="P86" i="1"/>
  <c r="P82" i="1"/>
  <c r="P78" i="1"/>
  <c r="P425" i="1"/>
  <c r="P421" i="1"/>
  <c r="P417" i="1"/>
  <c r="P413" i="1"/>
  <c r="P409" i="1"/>
  <c r="P405" i="1"/>
  <c r="P401" i="1"/>
  <c r="P397" i="1"/>
  <c r="P393" i="1"/>
  <c r="P389" i="1"/>
  <c r="P385" i="1"/>
  <c r="P381" i="1"/>
  <c r="P377" i="1"/>
  <c r="P373" i="1"/>
  <c r="P369" i="1"/>
  <c r="P365" i="1"/>
  <c r="P361" i="1"/>
  <c r="P357" i="1"/>
  <c r="P353" i="1"/>
  <c r="P349" i="1"/>
  <c r="P345" i="1"/>
  <c r="P341" i="1"/>
  <c r="P337" i="1"/>
  <c r="P333" i="1"/>
  <c r="P329" i="1"/>
  <c r="P325" i="1"/>
  <c r="P321" i="1"/>
  <c r="P317" i="1"/>
  <c r="P313" i="1"/>
  <c r="P309" i="1"/>
  <c r="P305" i="1"/>
  <c r="P301" i="1"/>
  <c r="P297" i="1"/>
  <c r="P293" i="1"/>
  <c r="P289" i="1"/>
  <c r="P285" i="1"/>
  <c r="P281" i="1"/>
  <c r="P277" i="1"/>
  <c r="P273" i="1"/>
  <c r="P269" i="1"/>
  <c r="P265" i="1"/>
  <c r="P261" i="1"/>
  <c r="P257" i="1"/>
  <c r="P253" i="1"/>
  <c r="P249" i="1"/>
  <c r="P245" i="1"/>
  <c r="P241" i="1"/>
  <c r="P237" i="1"/>
  <c r="P233" i="1"/>
  <c r="P229" i="1"/>
  <c r="P225" i="1"/>
  <c r="P221" i="1"/>
  <c r="P217" i="1"/>
  <c r="P213" i="1"/>
  <c r="P209" i="1"/>
  <c r="P205" i="1"/>
  <c r="P201" i="1"/>
  <c r="P197" i="1"/>
  <c r="P193" i="1"/>
  <c r="P189" i="1"/>
  <c r="P185" i="1"/>
  <c r="P181" i="1"/>
  <c r="P177" i="1"/>
  <c r="P173" i="1"/>
  <c r="P169" i="1"/>
  <c r="P165" i="1"/>
  <c r="P161" i="1"/>
  <c r="P157" i="1"/>
  <c r="P153" i="1"/>
  <c r="P149" i="1"/>
  <c r="P145" i="1"/>
  <c r="P141" i="1"/>
  <c r="P137" i="1"/>
  <c r="P133" i="1"/>
  <c r="P129" i="1"/>
  <c r="P125" i="1"/>
  <c r="P121" i="1"/>
  <c r="P117" i="1"/>
  <c r="P113" i="1"/>
  <c r="P109" i="1"/>
  <c r="P105" i="1"/>
  <c r="P101" i="1"/>
  <c r="P97" i="1"/>
  <c r="P93" i="1"/>
  <c r="P89" i="1"/>
  <c r="P85" i="1"/>
  <c r="P81" i="1"/>
  <c r="Q13" i="1"/>
  <c r="S46" i="1"/>
  <c r="P6" i="1"/>
  <c r="P13" i="1" s="1"/>
  <c r="N17" i="1"/>
  <c r="Q6" i="1"/>
  <c r="R7" i="1"/>
  <c r="R10" i="1"/>
  <c r="R8" i="1"/>
  <c r="R9" i="1"/>
  <c r="R11" i="1"/>
  <c r="O14" i="1"/>
  <c r="O17" i="1"/>
  <c r="Q8" i="1"/>
  <c r="Q7" i="1"/>
  <c r="Q10" i="1"/>
  <c r="Q9" i="1"/>
  <c r="Q11" i="1"/>
  <c r="O16" i="1"/>
  <c r="O18" i="1" s="1"/>
  <c r="N14" i="1"/>
  <c r="R55" i="1" l="1" a="1"/>
  <c r="R55" i="1" s="1"/>
  <c r="S55" i="1" s="1"/>
  <c r="Q55" i="1" a="1"/>
  <c r="Q55" i="1" s="1"/>
  <c r="Q16" i="1"/>
  <c r="Q18" i="1" s="1"/>
  <c r="Q14" i="1"/>
  <c r="Q17" i="1"/>
  <c r="R13" i="1"/>
  <c r="P17" i="1"/>
  <c r="P14" i="1"/>
  <c r="R14" i="1" s="1"/>
  <c r="P16" i="1"/>
  <c r="R6" i="1"/>
  <c r="S64" i="1" l="1"/>
  <c r="S68" i="1"/>
  <c r="S72" i="1"/>
  <c r="S933" i="1"/>
  <c r="S937" i="1"/>
  <c r="S936" i="1"/>
  <c r="T937" i="1" s="1"/>
  <c r="S65" i="1"/>
  <c r="T65" i="1" s="1"/>
  <c r="S913" i="1"/>
  <c r="S882" i="1"/>
  <c r="S858" i="1"/>
  <c r="S826" i="1"/>
  <c r="S802" i="1"/>
  <c r="S774" i="1"/>
  <c r="S718" i="1"/>
  <c r="S646" i="1"/>
  <c r="S901" i="1"/>
  <c r="T901" i="1" s="1"/>
  <c r="S825" i="1"/>
  <c r="S705" i="1"/>
  <c r="S585" i="1"/>
  <c r="S828" i="1"/>
  <c r="S692" i="1"/>
  <c r="S779" i="1"/>
  <c r="T779" i="1" s="1"/>
  <c r="S385" i="1"/>
  <c r="S58" i="1"/>
  <c r="T58" i="1" s="1"/>
  <c r="S918" i="1"/>
  <c r="T918" i="1" s="1"/>
  <c r="S62" i="1"/>
  <c r="S925" i="1"/>
  <c r="S66" i="1"/>
  <c r="S914" i="1"/>
  <c r="S60" i="1"/>
  <c r="S898" i="1"/>
  <c r="T898" i="1" s="1"/>
  <c r="S874" i="1"/>
  <c r="S846" i="1"/>
  <c r="T846" i="1" s="1"/>
  <c r="S822" i="1"/>
  <c r="S790" i="1"/>
  <c r="T790" i="1" s="1"/>
  <c r="S754" i="1"/>
  <c r="S702" i="1"/>
  <c r="S618" i="1"/>
  <c r="T618" i="1" s="1"/>
  <c r="S877" i="1"/>
  <c r="T877" i="1" s="1"/>
  <c r="S785" i="1"/>
  <c r="S669" i="1"/>
  <c r="S912" i="1"/>
  <c r="S792" i="1"/>
  <c r="S600" i="1"/>
  <c r="S659" i="1"/>
  <c r="T659" i="1" s="1"/>
  <c r="S444" i="1"/>
  <c r="S74" i="1"/>
  <c r="S938" i="1"/>
  <c r="S910" i="1"/>
  <c r="S942" i="1"/>
  <c r="S917" i="1"/>
  <c r="S56" i="1"/>
  <c r="T56" i="1" s="1"/>
  <c r="S906" i="1"/>
  <c r="S929" i="1"/>
  <c r="S894" i="1"/>
  <c r="S862" i="1"/>
  <c r="S838" i="1"/>
  <c r="S810" i="1"/>
  <c r="S786" i="1"/>
  <c r="T786" i="1" s="1"/>
  <c r="S738" i="1"/>
  <c r="S670" i="1"/>
  <c r="T670" i="1" s="1"/>
  <c r="S594" i="1"/>
  <c r="S849" i="1"/>
  <c r="S749" i="1"/>
  <c r="T749" i="1" s="1"/>
  <c r="S621" i="1"/>
  <c r="T621" i="1" s="1"/>
  <c r="S876" i="1"/>
  <c r="S744" i="1"/>
  <c r="T744" i="1" s="1"/>
  <c r="S911" i="1"/>
  <c r="S517" i="1"/>
  <c r="T517" i="1" s="1"/>
  <c r="S431" i="1"/>
  <c r="T431" i="1" s="1"/>
  <c r="S766" i="1"/>
  <c r="T766" i="1" s="1"/>
  <c r="S750" i="1"/>
  <c r="S730" i="1"/>
  <c r="T730" i="1" s="1"/>
  <c r="S714" i="1"/>
  <c r="T714" i="1" s="1"/>
  <c r="S690" i="1"/>
  <c r="S666" i="1"/>
  <c r="S634" i="1"/>
  <c r="S610" i="1"/>
  <c r="S582" i="1"/>
  <c r="S897" i="1"/>
  <c r="S865" i="1"/>
  <c r="S841" i="1"/>
  <c r="S813" i="1"/>
  <c r="S777" i="1"/>
  <c r="T777" i="1" s="1"/>
  <c r="S729" i="1"/>
  <c r="S693" i="1"/>
  <c r="T693" i="1" s="1"/>
  <c r="S653" i="1"/>
  <c r="S617" i="1"/>
  <c r="S569" i="1"/>
  <c r="S900" i="1"/>
  <c r="S856" i="1"/>
  <c r="S820" i="1"/>
  <c r="S772" i="1"/>
  <c r="S728" i="1"/>
  <c r="S668" i="1"/>
  <c r="S588" i="1"/>
  <c r="S859" i="1"/>
  <c r="T859" i="1" s="1"/>
  <c r="S743" i="1"/>
  <c r="T743" i="1" s="1"/>
  <c r="S587" i="1"/>
  <c r="T587" i="1" s="1"/>
  <c r="S499" i="1"/>
  <c r="T499" i="1" s="1"/>
  <c r="S314" i="1"/>
  <c r="S378" i="1"/>
  <c r="S222" i="1"/>
  <c r="S69" i="1"/>
  <c r="T69" i="1" s="1"/>
  <c r="S944" i="1"/>
  <c r="S926" i="1"/>
  <c r="T926" i="1" s="1"/>
  <c r="S73" i="1"/>
  <c r="S57" i="1"/>
  <c r="T57" i="1" s="1"/>
  <c r="S932" i="1"/>
  <c r="S909" i="1"/>
  <c r="T910" i="1" s="1"/>
  <c r="S61" i="1"/>
  <c r="S930" i="1"/>
  <c r="S70" i="1"/>
  <c r="S934" i="1"/>
  <c r="S905" i="1"/>
  <c r="S886" i="1"/>
  <c r="S870" i="1"/>
  <c r="S850" i="1"/>
  <c r="S834" i="1"/>
  <c r="S814" i="1"/>
  <c r="S798" i="1"/>
  <c r="S778" i="1"/>
  <c r="S762" i="1"/>
  <c r="S742" i="1"/>
  <c r="S726" i="1"/>
  <c r="S706" i="1"/>
  <c r="S682" i="1"/>
  <c r="S654" i="1"/>
  <c r="T654" i="1" s="1"/>
  <c r="S630" i="1"/>
  <c r="S598" i="1"/>
  <c r="S574" i="1"/>
  <c r="S885" i="1"/>
  <c r="S861" i="1"/>
  <c r="S829" i="1"/>
  <c r="T829" i="1" s="1"/>
  <c r="S801" i="1"/>
  <c r="S761" i="1"/>
  <c r="S725" i="1"/>
  <c r="T725" i="1" s="1"/>
  <c r="S677" i="1"/>
  <c r="T677" i="1" s="1"/>
  <c r="S641" i="1"/>
  <c r="T641" i="1" s="1"/>
  <c r="S597" i="1"/>
  <c r="T597" i="1" s="1"/>
  <c r="S928" i="1"/>
  <c r="T928" i="1" s="1"/>
  <c r="S880" i="1"/>
  <c r="T880" i="1" s="1"/>
  <c r="S844" i="1"/>
  <c r="S804" i="1"/>
  <c r="S768" i="1"/>
  <c r="S704" i="1"/>
  <c r="S644" i="1"/>
  <c r="S63" i="1"/>
  <c r="S835" i="1"/>
  <c r="S671" i="1"/>
  <c r="S556" i="1"/>
  <c r="S439" i="1"/>
  <c r="S555" i="1"/>
  <c r="S497" i="1"/>
  <c r="S236" i="1"/>
  <c r="S941" i="1"/>
  <c r="S922" i="1"/>
  <c r="S940" i="1"/>
  <c r="S921" i="1"/>
  <c r="T922" i="1" s="1"/>
  <c r="S902" i="1"/>
  <c r="S890" i="1"/>
  <c r="T890" i="1" s="1"/>
  <c r="S878" i="1"/>
  <c r="S866" i="1"/>
  <c r="S854" i="1"/>
  <c r="T854" i="1" s="1"/>
  <c r="S842" i="1"/>
  <c r="T842" i="1" s="1"/>
  <c r="S830" i="1"/>
  <c r="S818" i="1"/>
  <c r="S806" i="1"/>
  <c r="T806" i="1" s="1"/>
  <c r="S794" i="1"/>
  <c r="T794" i="1" s="1"/>
  <c r="S782" i="1"/>
  <c r="T782" i="1" s="1"/>
  <c r="S770" i="1"/>
  <c r="S758" i="1"/>
  <c r="T758" i="1" s="1"/>
  <c r="S746" i="1"/>
  <c r="T746" i="1" s="1"/>
  <c r="S734" i="1"/>
  <c r="T734" i="1" s="1"/>
  <c r="S722" i="1"/>
  <c r="T722" i="1" s="1"/>
  <c r="S710" i="1"/>
  <c r="S694" i="1"/>
  <c r="T694" i="1" s="1"/>
  <c r="S678" i="1"/>
  <c r="T678" i="1" s="1"/>
  <c r="S658" i="1"/>
  <c r="S642" i="1"/>
  <c r="S622" i="1"/>
  <c r="S606" i="1"/>
  <c r="S586" i="1"/>
  <c r="S570" i="1"/>
  <c r="S889" i="1"/>
  <c r="S873" i="1"/>
  <c r="S853" i="1"/>
  <c r="S837" i="1"/>
  <c r="S817" i="1"/>
  <c r="S797" i="1"/>
  <c r="T798" i="1" s="1"/>
  <c r="S765" i="1"/>
  <c r="S741" i="1"/>
  <c r="S713" i="1"/>
  <c r="T713" i="1" s="1"/>
  <c r="S689" i="1"/>
  <c r="T689" i="1" s="1"/>
  <c r="S657" i="1"/>
  <c r="S633" i="1"/>
  <c r="T633" i="1" s="1"/>
  <c r="S605" i="1"/>
  <c r="S581" i="1"/>
  <c r="S916" i="1"/>
  <c r="S892" i="1"/>
  <c r="S864" i="1"/>
  <c r="T864" i="1" s="1"/>
  <c r="S840" i="1"/>
  <c r="S808" i="1"/>
  <c r="S784" i="1"/>
  <c r="T785" i="1" s="1"/>
  <c r="S756" i="1"/>
  <c r="T756" i="1" s="1"/>
  <c r="S720" i="1"/>
  <c r="T720" i="1" s="1"/>
  <c r="S672" i="1"/>
  <c r="T672" i="1" s="1"/>
  <c r="S624" i="1"/>
  <c r="T624" i="1" s="1"/>
  <c r="S563" i="1"/>
  <c r="T563" i="1" s="1"/>
  <c r="S907" i="1"/>
  <c r="T907" i="1" s="1"/>
  <c r="S799" i="1"/>
  <c r="T799" i="1" s="1"/>
  <c r="S715" i="1"/>
  <c r="T715" i="1" s="1"/>
  <c r="S619" i="1"/>
  <c r="T619" i="1" s="1"/>
  <c r="S544" i="1"/>
  <c r="S448" i="1"/>
  <c r="S358" i="1"/>
  <c r="S498" i="1"/>
  <c r="S360" i="1"/>
  <c r="S291" i="1"/>
  <c r="S95" i="1"/>
  <c r="T95" i="1" s="1"/>
  <c r="S698" i="1"/>
  <c r="S686" i="1"/>
  <c r="S674" i="1"/>
  <c r="S662" i="1"/>
  <c r="S650" i="1"/>
  <c r="S638" i="1"/>
  <c r="S626" i="1"/>
  <c r="S614" i="1"/>
  <c r="S602" i="1"/>
  <c r="S590" i="1"/>
  <c r="S578" i="1"/>
  <c r="S566" i="1"/>
  <c r="S893" i="1"/>
  <c r="T893" i="1" s="1"/>
  <c r="S881" i="1"/>
  <c r="S869" i="1"/>
  <c r="S857" i="1"/>
  <c r="T857" i="1" s="1"/>
  <c r="S845" i="1"/>
  <c r="S833" i="1"/>
  <c r="S821" i="1"/>
  <c r="S809" i="1"/>
  <c r="T809" i="1" s="1"/>
  <c r="S789" i="1"/>
  <c r="S773" i="1"/>
  <c r="S753" i="1"/>
  <c r="S737" i="1"/>
  <c r="T737" i="1" s="1"/>
  <c r="S717" i="1"/>
  <c r="S701" i="1"/>
  <c r="T701" i="1" s="1"/>
  <c r="S681" i="1"/>
  <c r="S665" i="1"/>
  <c r="T665" i="1" s="1"/>
  <c r="S645" i="1"/>
  <c r="S629" i="1"/>
  <c r="T629" i="1" s="1"/>
  <c r="S609" i="1"/>
  <c r="S593" i="1"/>
  <c r="T593" i="1" s="1"/>
  <c r="S573" i="1"/>
  <c r="T573" i="1" s="1"/>
  <c r="S924" i="1"/>
  <c r="T924" i="1" s="1"/>
  <c r="S904" i="1"/>
  <c r="S888" i="1"/>
  <c r="T888" i="1" s="1"/>
  <c r="S868" i="1"/>
  <c r="S852" i="1"/>
  <c r="S832" i="1"/>
  <c r="S816" i="1"/>
  <c r="T816" i="1" s="1"/>
  <c r="S796" i="1"/>
  <c r="S780" i="1"/>
  <c r="T780" i="1" s="1"/>
  <c r="S760" i="1"/>
  <c r="S740" i="1"/>
  <c r="S708" i="1"/>
  <c r="S684" i="1"/>
  <c r="S656" i="1"/>
  <c r="S620" i="1"/>
  <c r="T620" i="1" s="1"/>
  <c r="S572" i="1"/>
  <c r="T572" i="1" s="1"/>
  <c r="S943" i="1"/>
  <c r="T943" i="1" s="1"/>
  <c r="S875" i="1"/>
  <c r="T875" i="1" s="1"/>
  <c r="S823" i="1"/>
  <c r="T823" i="1" s="1"/>
  <c r="S751" i="1"/>
  <c r="T751" i="1" s="1"/>
  <c r="S695" i="1"/>
  <c r="T695" i="1" s="1"/>
  <c r="S635" i="1"/>
  <c r="T635" i="1" s="1"/>
  <c r="S583" i="1"/>
  <c r="S526" i="1"/>
  <c r="T526" i="1" s="1"/>
  <c r="S481" i="1"/>
  <c r="T481" i="1" s="1"/>
  <c r="S409" i="1"/>
  <c r="T410" i="1" s="1"/>
  <c r="S346" i="1"/>
  <c r="S507" i="1"/>
  <c r="S417" i="1"/>
  <c r="T417" i="1" s="1"/>
  <c r="S551" i="1"/>
  <c r="T551" i="1" s="1"/>
  <c r="S413" i="1"/>
  <c r="T413" i="1" s="1"/>
  <c r="S78" i="1"/>
  <c r="S256" i="1"/>
  <c r="S805" i="1"/>
  <c r="S793" i="1"/>
  <c r="T793" i="1" s="1"/>
  <c r="S781" i="1"/>
  <c r="S769" i="1"/>
  <c r="T769" i="1" s="1"/>
  <c r="S757" i="1"/>
  <c r="S745" i="1"/>
  <c r="S733" i="1"/>
  <c r="T733" i="1" s="1"/>
  <c r="S721" i="1"/>
  <c r="S709" i="1"/>
  <c r="S697" i="1"/>
  <c r="T697" i="1" s="1"/>
  <c r="S685" i="1"/>
  <c r="S673" i="1"/>
  <c r="S661" i="1"/>
  <c r="T661" i="1" s="1"/>
  <c r="S649" i="1"/>
  <c r="T649" i="1" s="1"/>
  <c r="S637" i="1"/>
  <c r="S625" i="1"/>
  <c r="S613" i="1"/>
  <c r="T613" i="1" s="1"/>
  <c r="S601" i="1"/>
  <c r="T601" i="1" s="1"/>
  <c r="S589" i="1"/>
  <c r="T589" i="1" s="1"/>
  <c r="S577" i="1"/>
  <c r="T577" i="1" s="1"/>
  <c r="S565" i="1"/>
  <c r="S920" i="1"/>
  <c r="S908" i="1"/>
  <c r="S896" i="1"/>
  <c r="T896" i="1" s="1"/>
  <c r="S884" i="1"/>
  <c r="S872" i="1"/>
  <c r="S860" i="1"/>
  <c r="S848" i="1"/>
  <c r="S836" i="1"/>
  <c r="S824" i="1"/>
  <c r="S812" i="1"/>
  <c r="S800" i="1"/>
  <c r="S788" i="1"/>
  <c r="S776" i="1"/>
  <c r="T776" i="1" s="1"/>
  <c r="S764" i="1"/>
  <c r="S752" i="1"/>
  <c r="S732" i="1"/>
  <c r="S716" i="1"/>
  <c r="S696" i="1"/>
  <c r="S680" i="1"/>
  <c r="S660" i="1"/>
  <c r="S636" i="1"/>
  <c r="S608" i="1"/>
  <c r="S584" i="1"/>
  <c r="S67" i="1"/>
  <c r="S931" i="1"/>
  <c r="T931" i="1" s="1"/>
  <c r="S887" i="1"/>
  <c r="T887" i="1" s="1"/>
  <c r="S851" i="1"/>
  <c r="T851" i="1" s="1"/>
  <c r="S803" i="1"/>
  <c r="T803" i="1" s="1"/>
  <c r="S767" i="1"/>
  <c r="S727" i="1"/>
  <c r="S691" i="1"/>
  <c r="S643" i="1"/>
  <c r="T643" i="1" s="1"/>
  <c r="S607" i="1"/>
  <c r="T607" i="1" s="1"/>
  <c r="S560" i="1"/>
  <c r="T560" i="1" s="1"/>
  <c r="S538" i="1"/>
  <c r="S502" i="1"/>
  <c r="T502" i="1" s="1"/>
  <c r="S466" i="1"/>
  <c r="S421" i="1"/>
  <c r="T421" i="1" s="1"/>
  <c r="S382" i="1"/>
  <c r="S327" i="1"/>
  <c r="T327" i="1" s="1"/>
  <c r="S540" i="1"/>
  <c r="S468" i="1"/>
  <c r="T468" i="1" s="1"/>
  <c r="S405" i="1"/>
  <c r="T405" i="1" s="1"/>
  <c r="S303" i="1"/>
  <c r="S470" i="1"/>
  <c r="S353" i="1"/>
  <c r="S195" i="1"/>
  <c r="S140" i="1"/>
  <c r="S193" i="1"/>
  <c r="S748" i="1"/>
  <c r="S736" i="1"/>
  <c r="S724" i="1"/>
  <c r="S712" i="1"/>
  <c r="S700" i="1"/>
  <c r="S688" i="1"/>
  <c r="S676" i="1"/>
  <c r="S664" i="1"/>
  <c r="S648" i="1"/>
  <c r="T648" i="1" s="1"/>
  <c r="S632" i="1"/>
  <c r="S612" i="1"/>
  <c r="S596" i="1"/>
  <c r="T596" i="1" s="1"/>
  <c r="S576" i="1"/>
  <c r="S75" i="1"/>
  <c r="T75" i="1" s="1"/>
  <c r="S923" i="1"/>
  <c r="T923" i="1" s="1"/>
  <c r="S895" i="1"/>
  <c r="T895" i="1" s="1"/>
  <c r="S871" i="1"/>
  <c r="T871" i="1" s="1"/>
  <c r="S839" i="1"/>
  <c r="T839" i="1" s="1"/>
  <c r="S815" i="1"/>
  <c r="T815" i="1" s="1"/>
  <c r="S787" i="1"/>
  <c r="T787" i="1" s="1"/>
  <c r="S763" i="1"/>
  <c r="T763" i="1" s="1"/>
  <c r="S731" i="1"/>
  <c r="S707" i="1"/>
  <c r="S679" i="1"/>
  <c r="S655" i="1"/>
  <c r="T655" i="1" s="1"/>
  <c r="S623" i="1"/>
  <c r="T623" i="1" s="1"/>
  <c r="S599" i="1"/>
  <c r="T599" i="1" s="1"/>
  <c r="S571" i="1"/>
  <c r="T571" i="1" s="1"/>
  <c r="S553" i="1"/>
  <c r="T553" i="1" s="1"/>
  <c r="S529" i="1"/>
  <c r="T529" i="1" s="1"/>
  <c r="S511" i="1"/>
  <c r="S490" i="1"/>
  <c r="S463" i="1"/>
  <c r="S427" i="1"/>
  <c r="S400" i="1"/>
  <c r="S367" i="1"/>
  <c r="S340" i="1"/>
  <c r="S558" i="1"/>
  <c r="S525" i="1"/>
  <c r="S480" i="1"/>
  <c r="T480" i="1" s="1"/>
  <c r="S441" i="1"/>
  <c r="T441" i="1" s="1"/>
  <c r="S387" i="1"/>
  <c r="S345" i="1"/>
  <c r="S521" i="1"/>
  <c r="S458" i="1"/>
  <c r="S362" i="1"/>
  <c r="S264" i="1"/>
  <c r="S132" i="1"/>
  <c r="S218" i="1"/>
  <c r="S286" i="1"/>
  <c r="S151" i="1"/>
  <c r="S652" i="1"/>
  <c r="S640" i="1"/>
  <c r="S628" i="1"/>
  <c r="S616" i="1"/>
  <c r="S604" i="1"/>
  <c r="S592" i="1"/>
  <c r="T592" i="1" s="1"/>
  <c r="S580" i="1"/>
  <c r="S568" i="1"/>
  <c r="S71" i="1"/>
  <c r="T71" i="1" s="1"/>
  <c r="S59" i="1"/>
  <c r="T59" i="1" s="1"/>
  <c r="S935" i="1"/>
  <c r="T935" i="1" s="1"/>
  <c r="S919" i="1"/>
  <c r="T919" i="1" s="1"/>
  <c r="S899" i="1"/>
  <c r="T899" i="1" s="1"/>
  <c r="S883" i="1"/>
  <c r="T883" i="1" s="1"/>
  <c r="S863" i="1"/>
  <c r="T863" i="1" s="1"/>
  <c r="S847" i="1"/>
  <c r="T847" i="1" s="1"/>
  <c r="S827" i="1"/>
  <c r="T827" i="1" s="1"/>
  <c r="S811" i="1"/>
  <c r="S791" i="1"/>
  <c r="S775" i="1"/>
  <c r="S755" i="1"/>
  <c r="S739" i="1"/>
  <c r="S719" i="1"/>
  <c r="S703" i="1"/>
  <c r="S683" i="1"/>
  <c r="S667" i="1"/>
  <c r="T667" i="1" s="1"/>
  <c r="S647" i="1"/>
  <c r="S631" i="1"/>
  <c r="S611" i="1"/>
  <c r="T611" i="1" s="1"/>
  <c r="S595" i="1"/>
  <c r="S575" i="1"/>
  <c r="S562" i="1"/>
  <c r="S547" i="1"/>
  <c r="S535" i="1"/>
  <c r="T535" i="1" s="1"/>
  <c r="S520" i="1"/>
  <c r="S508" i="1"/>
  <c r="S493" i="1"/>
  <c r="S475" i="1"/>
  <c r="T475" i="1" s="1"/>
  <c r="S454" i="1"/>
  <c r="S436" i="1"/>
  <c r="S412" i="1"/>
  <c r="S394" i="1"/>
  <c r="T394" i="1" s="1"/>
  <c r="S373" i="1"/>
  <c r="S355" i="1"/>
  <c r="S331" i="1"/>
  <c r="T331" i="1" s="1"/>
  <c r="S305" i="1"/>
  <c r="S546" i="1"/>
  <c r="S522" i="1"/>
  <c r="S486" i="1"/>
  <c r="S459" i="1"/>
  <c r="T459" i="1" s="1"/>
  <c r="S426" i="1"/>
  <c r="S399" i="1"/>
  <c r="S363" i="1"/>
  <c r="S330" i="1"/>
  <c r="S533" i="1"/>
  <c r="S494" i="1"/>
  <c r="S440" i="1"/>
  <c r="S395" i="1"/>
  <c r="S320" i="1"/>
  <c r="S252" i="1"/>
  <c r="S141" i="1"/>
  <c r="S275" i="1"/>
  <c r="T275" i="1" s="1"/>
  <c r="S176" i="1"/>
  <c r="S83" i="1"/>
  <c r="S214" i="1"/>
  <c r="S124" i="1"/>
  <c r="S939" i="1"/>
  <c r="S927" i="1"/>
  <c r="S915" i="1"/>
  <c r="S903" i="1"/>
  <c r="S891" i="1"/>
  <c r="S879" i="1"/>
  <c r="T879" i="1" s="1"/>
  <c r="S867" i="1"/>
  <c r="S855" i="1"/>
  <c r="S843" i="1"/>
  <c r="S831" i="1"/>
  <c r="S819" i="1"/>
  <c r="S807" i="1"/>
  <c r="S795" i="1"/>
  <c r="S783" i="1"/>
  <c r="S771" i="1"/>
  <c r="T771" i="1" s="1"/>
  <c r="S759" i="1"/>
  <c r="S747" i="1"/>
  <c r="T747" i="1" s="1"/>
  <c r="S735" i="1"/>
  <c r="S723" i="1"/>
  <c r="T724" i="1" s="1"/>
  <c r="S711" i="1"/>
  <c r="S699" i="1"/>
  <c r="S687" i="1"/>
  <c r="S675" i="1"/>
  <c r="S663" i="1"/>
  <c r="S651" i="1"/>
  <c r="S639" i="1"/>
  <c r="S627" i="1"/>
  <c r="S615" i="1"/>
  <c r="S603" i="1"/>
  <c r="S591" i="1"/>
  <c r="S579" i="1"/>
  <c r="S567" i="1"/>
  <c r="S559" i="1"/>
  <c r="T559" i="1" s="1"/>
  <c r="S550" i="1"/>
  <c r="S541" i="1"/>
  <c r="S532" i="1"/>
  <c r="S523" i="1"/>
  <c r="S514" i="1"/>
  <c r="S505" i="1"/>
  <c r="T505" i="1" s="1"/>
  <c r="S496" i="1"/>
  <c r="S484" i="1"/>
  <c r="S472" i="1"/>
  <c r="S457" i="1"/>
  <c r="S445" i="1"/>
  <c r="T445" i="1" s="1"/>
  <c r="S430" i="1"/>
  <c r="S418" i="1"/>
  <c r="S403" i="1"/>
  <c r="S391" i="1"/>
  <c r="S376" i="1"/>
  <c r="S364" i="1"/>
  <c r="S349" i="1"/>
  <c r="S337" i="1"/>
  <c r="S318" i="1"/>
  <c r="S564" i="1"/>
  <c r="S549" i="1"/>
  <c r="S534" i="1"/>
  <c r="S513" i="1"/>
  <c r="S495" i="1"/>
  <c r="T495" i="1" s="1"/>
  <c r="S471" i="1"/>
  <c r="T471" i="1" s="1"/>
  <c r="S453" i="1"/>
  <c r="S432" i="1"/>
  <c r="T432" i="1" s="1"/>
  <c r="S414" i="1"/>
  <c r="S390" i="1"/>
  <c r="S372" i="1"/>
  <c r="S351" i="1"/>
  <c r="S326" i="1"/>
  <c r="S539" i="1"/>
  <c r="S512" i="1"/>
  <c r="S479" i="1"/>
  <c r="S452" i="1"/>
  <c r="S416" i="1"/>
  <c r="S380" i="1"/>
  <c r="S335" i="1"/>
  <c r="S288" i="1"/>
  <c r="S234" i="1"/>
  <c r="S174" i="1"/>
  <c r="S102" i="1"/>
  <c r="S263" i="1"/>
  <c r="S182" i="1"/>
  <c r="S122" i="1"/>
  <c r="S310" i="1"/>
  <c r="T310" i="1" s="1"/>
  <c r="S247" i="1"/>
  <c r="S166" i="1"/>
  <c r="S106" i="1"/>
  <c r="S487" i="1"/>
  <c r="S478" i="1"/>
  <c r="S469" i="1"/>
  <c r="S460" i="1"/>
  <c r="S451" i="1"/>
  <c r="T452" i="1" s="1"/>
  <c r="S442" i="1"/>
  <c r="T442" i="1" s="1"/>
  <c r="S433" i="1"/>
  <c r="S424" i="1"/>
  <c r="T424" i="1" s="1"/>
  <c r="S415" i="1"/>
  <c r="S406" i="1"/>
  <c r="S397" i="1"/>
  <c r="S388" i="1"/>
  <c r="S379" i="1"/>
  <c r="T379" i="1" s="1"/>
  <c r="S370" i="1"/>
  <c r="T371" i="1" s="1"/>
  <c r="S361" i="1"/>
  <c r="T361" i="1" s="1"/>
  <c r="S352" i="1"/>
  <c r="S343" i="1"/>
  <c r="S334" i="1"/>
  <c r="S323" i="1"/>
  <c r="S309" i="1"/>
  <c r="S561" i="1"/>
  <c r="S552" i="1"/>
  <c r="S543" i="1"/>
  <c r="S531" i="1"/>
  <c r="S516" i="1"/>
  <c r="S504" i="1"/>
  <c r="S489" i="1"/>
  <c r="S477" i="1"/>
  <c r="S462" i="1"/>
  <c r="S450" i="1"/>
  <c r="S435" i="1"/>
  <c r="S423" i="1"/>
  <c r="S408" i="1"/>
  <c r="S396" i="1"/>
  <c r="S381" i="1"/>
  <c r="S369" i="1"/>
  <c r="S354" i="1"/>
  <c r="S339" i="1"/>
  <c r="S312" i="1"/>
  <c r="S548" i="1"/>
  <c r="S524" i="1"/>
  <c r="T524" i="1" s="1"/>
  <c r="S506" i="1"/>
  <c r="T506" i="1" s="1"/>
  <c r="S485" i="1"/>
  <c r="S467" i="1"/>
  <c r="S443" i="1"/>
  <c r="T443" i="1" s="1"/>
  <c r="S425" i="1"/>
  <c r="S404" i="1"/>
  <c r="T404" i="1" s="1"/>
  <c r="S377" i="1"/>
  <c r="S341" i="1"/>
  <c r="S306" i="1"/>
  <c r="S273" i="1"/>
  <c r="S246" i="1"/>
  <c r="S201" i="1"/>
  <c r="S159" i="1"/>
  <c r="S114" i="1"/>
  <c r="S299" i="1"/>
  <c r="S245" i="1"/>
  <c r="S203" i="1"/>
  <c r="S155" i="1"/>
  <c r="S113" i="1"/>
  <c r="S313" i="1"/>
  <c r="T313" i="1" s="1"/>
  <c r="S274" i="1"/>
  <c r="S229" i="1"/>
  <c r="S187" i="1"/>
  <c r="S133" i="1"/>
  <c r="S94" i="1"/>
  <c r="S537" i="1"/>
  <c r="S528" i="1"/>
  <c r="S519" i="1"/>
  <c r="S510" i="1"/>
  <c r="S501" i="1"/>
  <c r="S492" i="1"/>
  <c r="S483" i="1"/>
  <c r="S474" i="1"/>
  <c r="S465" i="1"/>
  <c r="S456" i="1"/>
  <c r="S447" i="1"/>
  <c r="S438" i="1"/>
  <c r="S429" i="1"/>
  <c r="S420" i="1"/>
  <c r="S411" i="1"/>
  <c r="S402" i="1"/>
  <c r="S393" i="1"/>
  <c r="S384" i="1"/>
  <c r="S375" i="1"/>
  <c r="S366" i="1"/>
  <c r="S357" i="1"/>
  <c r="T357" i="1" s="1"/>
  <c r="S348" i="1"/>
  <c r="S336" i="1"/>
  <c r="S317" i="1"/>
  <c r="S557" i="1"/>
  <c r="S542" i="1"/>
  <c r="T542" i="1" s="1"/>
  <c r="S530" i="1"/>
  <c r="S515" i="1"/>
  <c r="T515" i="1" s="1"/>
  <c r="S503" i="1"/>
  <c r="T503" i="1" s="1"/>
  <c r="S488" i="1"/>
  <c r="T488" i="1" s="1"/>
  <c r="S476" i="1"/>
  <c r="T476" i="1" s="1"/>
  <c r="S461" i="1"/>
  <c r="S449" i="1"/>
  <c r="S434" i="1"/>
  <c r="S422" i="1"/>
  <c r="T422" i="1" s="1"/>
  <c r="S407" i="1"/>
  <c r="T407" i="1" s="1"/>
  <c r="S389" i="1"/>
  <c r="S368" i="1"/>
  <c r="T368" i="1" s="1"/>
  <c r="S350" i="1"/>
  <c r="T350" i="1" s="1"/>
  <c r="S324" i="1"/>
  <c r="S300" i="1"/>
  <c r="S279" i="1"/>
  <c r="S261" i="1"/>
  <c r="S237" i="1"/>
  <c r="S213" i="1"/>
  <c r="S183" i="1"/>
  <c r="S156" i="1"/>
  <c r="S120" i="1"/>
  <c r="S93" i="1"/>
  <c r="S284" i="1"/>
  <c r="S257" i="1"/>
  <c r="S221" i="1"/>
  <c r="S194" i="1"/>
  <c r="S164" i="1"/>
  <c r="S137" i="1"/>
  <c r="S101" i="1"/>
  <c r="T102" i="1" s="1"/>
  <c r="S328" i="1"/>
  <c r="T328" i="1" s="1"/>
  <c r="S295" i="1"/>
  <c r="S268" i="1"/>
  <c r="T268" i="1" s="1"/>
  <c r="S232" i="1"/>
  <c r="S205" i="1"/>
  <c r="S175" i="1"/>
  <c r="S148" i="1"/>
  <c r="S112" i="1"/>
  <c r="S85" i="1"/>
  <c r="S342" i="1"/>
  <c r="T343" i="1" s="1"/>
  <c r="S333" i="1"/>
  <c r="S321" i="1"/>
  <c r="T321" i="1" s="1"/>
  <c r="S308" i="1"/>
  <c r="T309" i="1" s="1"/>
  <c r="S554" i="1"/>
  <c r="T554" i="1" s="1"/>
  <c r="S545" i="1"/>
  <c r="S536" i="1"/>
  <c r="S527" i="1"/>
  <c r="T528" i="1" s="1"/>
  <c r="S518" i="1"/>
  <c r="T518" i="1" s="1"/>
  <c r="S509" i="1"/>
  <c r="T509" i="1" s="1"/>
  <c r="S500" i="1"/>
  <c r="S491" i="1"/>
  <c r="S482" i="1"/>
  <c r="S473" i="1"/>
  <c r="S464" i="1"/>
  <c r="T464" i="1" s="1"/>
  <c r="S455" i="1"/>
  <c r="S446" i="1"/>
  <c r="S437" i="1"/>
  <c r="S428" i="1"/>
  <c r="T428" i="1" s="1"/>
  <c r="S419" i="1"/>
  <c r="S410" i="1"/>
  <c r="S398" i="1"/>
  <c r="S386" i="1"/>
  <c r="S371" i="1"/>
  <c r="S359" i="1"/>
  <c r="S344" i="1"/>
  <c r="S332" i="1"/>
  <c r="S311" i="1"/>
  <c r="S297" i="1"/>
  <c r="S282" i="1"/>
  <c r="S270" i="1"/>
  <c r="S255" i="1"/>
  <c r="S243" i="1"/>
  <c r="S228" i="1"/>
  <c r="S210" i="1"/>
  <c r="S186" i="1"/>
  <c r="S168" i="1"/>
  <c r="S147" i="1"/>
  <c r="S129" i="1"/>
  <c r="S105" i="1"/>
  <c r="S87" i="1"/>
  <c r="S290" i="1"/>
  <c r="S272" i="1"/>
  <c r="S248" i="1"/>
  <c r="S230" i="1"/>
  <c r="S209" i="1"/>
  <c r="S191" i="1"/>
  <c r="S167" i="1"/>
  <c r="T167" i="1" s="1"/>
  <c r="S149" i="1"/>
  <c r="S128" i="1"/>
  <c r="S110" i="1"/>
  <c r="S86" i="1"/>
  <c r="S322" i="1"/>
  <c r="T322" i="1" s="1"/>
  <c r="S301" i="1"/>
  <c r="S283" i="1"/>
  <c r="S259" i="1"/>
  <c r="S241" i="1"/>
  <c r="S220" i="1"/>
  <c r="S202" i="1"/>
  <c r="S178" i="1"/>
  <c r="S160" i="1"/>
  <c r="S139" i="1"/>
  <c r="S121" i="1"/>
  <c r="S97" i="1"/>
  <c r="S79" i="1"/>
  <c r="T79" i="1" s="1"/>
  <c r="T941" i="1"/>
  <c r="S401" i="1"/>
  <c r="S392" i="1"/>
  <c r="S383" i="1"/>
  <c r="S374" i="1"/>
  <c r="S365" i="1"/>
  <c r="S356" i="1"/>
  <c r="S347" i="1"/>
  <c r="S338" i="1"/>
  <c r="S329" i="1"/>
  <c r="S315" i="1"/>
  <c r="S302" i="1"/>
  <c r="S294" i="1"/>
  <c r="S285" i="1"/>
  <c r="T286" i="1" s="1"/>
  <c r="S276" i="1"/>
  <c r="S267" i="1"/>
  <c r="S258" i="1"/>
  <c r="S249" i="1"/>
  <c r="S240" i="1"/>
  <c r="S231" i="1"/>
  <c r="S219" i="1"/>
  <c r="T219" i="1" s="1"/>
  <c r="S204" i="1"/>
  <c r="S192" i="1"/>
  <c r="T193" i="1" s="1"/>
  <c r="S177" i="1"/>
  <c r="S165" i="1"/>
  <c r="S150" i="1"/>
  <c r="T151" i="1" s="1"/>
  <c r="S138" i="1"/>
  <c r="S123" i="1"/>
  <c r="T123" i="1" s="1"/>
  <c r="S111" i="1"/>
  <c r="S96" i="1"/>
  <c r="S84" i="1"/>
  <c r="S293" i="1"/>
  <c r="S281" i="1"/>
  <c r="S266" i="1"/>
  <c r="S254" i="1"/>
  <c r="S239" i="1"/>
  <c r="S227" i="1"/>
  <c r="S212" i="1"/>
  <c r="S200" i="1"/>
  <c r="S185" i="1"/>
  <c r="S173" i="1"/>
  <c r="S158" i="1"/>
  <c r="S146" i="1"/>
  <c r="S131" i="1"/>
  <c r="S119" i="1"/>
  <c r="S104" i="1"/>
  <c r="S92" i="1"/>
  <c r="S77" i="1"/>
  <c r="S319" i="1"/>
  <c r="S304" i="1"/>
  <c r="S292" i="1"/>
  <c r="S277" i="1"/>
  <c r="S265" i="1"/>
  <c r="S250" i="1"/>
  <c r="S238" i="1"/>
  <c r="S223" i="1"/>
  <c r="S211" i="1"/>
  <c r="S196" i="1"/>
  <c r="T196" i="1" s="1"/>
  <c r="S184" i="1"/>
  <c r="S169" i="1"/>
  <c r="S157" i="1"/>
  <c r="S142" i="1"/>
  <c r="S130" i="1"/>
  <c r="T130" i="1" s="1"/>
  <c r="S115" i="1"/>
  <c r="S103" i="1"/>
  <c r="T103" i="1" s="1"/>
  <c r="S88" i="1"/>
  <c r="S76" i="1"/>
  <c r="T76" i="1" s="1"/>
  <c r="T942" i="1"/>
  <c r="T914" i="1"/>
  <c r="T66" i="1"/>
  <c r="S225" i="1"/>
  <c r="S216" i="1"/>
  <c r="S207" i="1"/>
  <c r="S198" i="1"/>
  <c r="S189" i="1"/>
  <c r="S180" i="1"/>
  <c r="S171" i="1"/>
  <c r="S162" i="1"/>
  <c r="S153" i="1"/>
  <c r="S144" i="1"/>
  <c r="S135" i="1"/>
  <c r="S126" i="1"/>
  <c r="S117" i="1"/>
  <c r="S108" i="1"/>
  <c r="S99" i="1"/>
  <c r="S90" i="1"/>
  <c r="S81" i="1"/>
  <c r="S296" i="1"/>
  <c r="S287" i="1"/>
  <c r="T288" i="1" s="1"/>
  <c r="S278" i="1"/>
  <c r="S269" i="1"/>
  <c r="S260" i="1"/>
  <c r="S251" i="1"/>
  <c r="S242" i="1"/>
  <c r="S233" i="1"/>
  <c r="S224" i="1"/>
  <c r="S215" i="1"/>
  <c r="S206" i="1"/>
  <c r="S197" i="1"/>
  <c r="S188" i="1"/>
  <c r="S179" i="1"/>
  <c r="S170" i="1"/>
  <c r="S161" i="1"/>
  <c r="S152" i="1"/>
  <c r="T152" i="1" s="1"/>
  <c r="S143" i="1"/>
  <c r="S134" i="1"/>
  <c r="S125" i="1"/>
  <c r="S116" i="1"/>
  <c r="S107" i="1"/>
  <c r="T107" i="1" s="1"/>
  <c r="S98" i="1"/>
  <c r="S89" i="1"/>
  <c r="S80" i="1"/>
  <c r="S325" i="1"/>
  <c r="S316" i="1"/>
  <c r="S307" i="1"/>
  <c r="S298" i="1"/>
  <c r="S289" i="1"/>
  <c r="S280" i="1"/>
  <c r="S271" i="1"/>
  <c r="S262" i="1"/>
  <c r="S253" i="1"/>
  <c r="T253" i="1" s="1"/>
  <c r="S244" i="1"/>
  <c r="S235" i="1"/>
  <c r="S226" i="1"/>
  <c r="S217" i="1"/>
  <c r="S208" i="1"/>
  <c r="S199" i="1"/>
  <c r="S190" i="1"/>
  <c r="S181" i="1"/>
  <c r="S172" i="1"/>
  <c r="S163" i="1"/>
  <c r="S154" i="1"/>
  <c r="S145" i="1"/>
  <c r="S136" i="1"/>
  <c r="S127" i="1"/>
  <c r="S118" i="1"/>
  <c r="T119" i="1" s="1"/>
  <c r="S109" i="1"/>
  <c r="S100" i="1"/>
  <c r="S91" i="1"/>
  <c r="S82" i="1"/>
  <c r="T704" i="1"/>
  <c r="T640" i="1"/>
  <c r="T576" i="1"/>
  <c r="T381" i="1"/>
  <c r="T311" i="1"/>
  <c r="T141" i="1"/>
  <c r="T938" i="1"/>
  <c r="T64" i="1"/>
  <c r="T917" i="1"/>
  <c r="T838" i="1"/>
  <c r="R17" i="1"/>
  <c r="R16" i="1"/>
  <c r="P18" i="1"/>
  <c r="R18" i="1" s="1"/>
  <c r="T858" i="1" l="1"/>
  <c r="T826" i="1"/>
  <c r="T802" i="1"/>
  <c r="T718" i="1"/>
  <c r="T646" i="1"/>
  <c r="T828" i="1"/>
  <c r="T692" i="1"/>
  <c r="T702" i="1"/>
  <c r="T913" i="1"/>
  <c r="T600" i="1"/>
  <c r="T444" i="1"/>
  <c r="T894" i="1"/>
  <c r="T862" i="1"/>
  <c r="T876" i="1"/>
  <c r="T666" i="1"/>
  <c r="T634" i="1"/>
  <c r="T582" i="1"/>
  <c r="T897" i="1"/>
  <c r="T865" i="1"/>
  <c r="T841" i="1"/>
  <c r="T729" i="1"/>
  <c r="T569" i="1"/>
  <c r="T588" i="1"/>
  <c r="T378" i="1"/>
  <c r="T930" i="1"/>
  <c r="T70" i="1"/>
  <c r="T934" i="1"/>
  <c r="T906" i="1"/>
  <c r="T886" i="1"/>
  <c r="T870" i="1"/>
  <c r="T850" i="1"/>
  <c r="T834" i="1"/>
  <c r="T742" i="1"/>
  <c r="T726" i="1"/>
  <c r="T682" i="1"/>
  <c r="T630" i="1"/>
  <c r="T598" i="1"/>
  <c r="T574" i="1"/>
  <c r="T761" i="1"/>
  <c r="T705" i="1"/>
  <c r="T63" i="1"/>
  <c r="T835" i="1"/>
  <c r="T671" i="1"/>
  <c r="T556" i="1"/>
  <c r="T902" i="1"/>
  <c r="T878" i="1"/>
  <c r="T830" i="1"/>
  <c r="T622" i="1"/>
  <c r="T606" i="1"/>
  <c r="T570" i="1"/>
  <c r="T889" i="1"/>
  <c r="T605" i="1"/>
  <c r="T840" i="1"/>
  <c r="T359" i="1"/>
  <c r="T498" i="1"/>
  <c r="T686" i="1"/>
  <c r="T675" i="1"/>
  <c r="T650" i="1"/>
  <c r="T638" i="1"/>
  <c r="T626" i="1"/>
  <c r="T602" i="1"/>
  <c r="T590" i="1"/>
  <c r="T566" i="1"/>
  <c r="T881" i="1"/>
  <c r="T869" i="1"/>
  <c r="T845" i="1"/>
  <c r="T833" i="1"/>
  <c r="T805" i="1"/>
  <c r="T781" i="1"/>
  <c r="T757" i="1"/>
  <c r="T745" i="1"/>
  <c r="T721" i="1"/>
  <c r="T709" i="1"/>
  <c r="T685" i="1"/>
  <c r="T625" i="1"/>
  <c r="T920" i="1"/>
  <c r="T908" i="1"/>
  <c r="T800" i="1"/>
  <c r="T732" i="1"/>
  <c r="T696" i="1"/>
  <c r="T636" i="1"/>
  <c r="T585" i="1"/>
  <c r="T691" i="1"/>
  <c r="T731" i="1"/>
  <c r="T679" i="1"/>
  <c r="T427" i="1"/>
  <c r="T401" i="1"/>
  <c r="T367" i="1"/>
  <c r="T340" i="1"/>
  <c r="T525" i="1"/>
  <c r="T521" i="1"/>
  <c r="T362" i="1"/>
  <c r="T811" i="1"/>
  <c r="T791" i="1"/>
  <c r="T775" i="1"/>
  <c r="T755" i="1"/>
  <c r="T739" i="1"/>
  <c r="T719" i="1"/>
  <c r="T703" i="1"/>
  <c r="T684" i="1"/>
  <c r="T647" i="1"/>
  <c r="T632" i="1"/>
  <c r="T595" i="1"/>
  <c r="T575" i="1"/>
  <c r="T547" i="1"/>
  <c r="T508" i="1"/>
  <c r="T414" i="1"/>
  <c r="T399" i="1"/>
  <c r="T363" i="1"/>
  <c r="T440" i="1"/>
  <c r="T395" i="1"/>
  <c r="T214" i="1"/>
  <c r="T124" i="1"/>
  <c r="T927" i="1"/>
  <c r="T904" i="1"/>
  <c r="T868" i="1"/>
  <c r="T796" i="1"/>
  <c r="T760" i="1"/>
  <c r="T652" i="1"/>
  <c r="T639" i="1"/>
  <c r="T616" i="1"/>
  <c r="T591" i="1"/>
  <c r="T580" i="1"/>
  <c r="T541" i="1"/>
  <c r="T523" i="1"/>
  <c r="T514" i="1"/>
  <c r="T564" i="1"/>
  <c r="T416" i="1"/>
  <c r="T380" i="1"/>
  <c r="T106" i="1"/>
  <c r="T487" i="1"/>
  <c r="T460" i="1"/>
  <c r="T415" i="1"/>
  <c r="T406" i="1"/>
  <c r="T504" i="1"/>
  <c r="T462" i="1"/>
  <c r="T423" i="1"/>
  <c r="T355" i="1"/>
  <c r="T467" i="1"/>
  <c r="T426" i="1"/>
  <c r="T274" i="1"/>
  <c r="T133" i="1"/>
  <c r="T530" i="1"/>
  <c r="T491" i="1"/>
  <c r="T482" i="1"/>
  <c r="T455" i="1"/>
  <c r="T437" i="1"/>
  <c r="T344" i="1"/>
  <c r="T332" i="1"/>
  <c r="T301" i="1"/>
  <c r="T283" i="1"/>
  <c r="T220" i="1"/>
  <c r="T202" i="1"/>
  <c r="T160" i="1"/>
  <c r="T122" i="1"/>
  <c r="T213" i="1"/>
  <c r="T304" i="1"/>
  <c r="T250" i="1"/>
  <c r="T238" i="1"/>
  <c r="T157" i="1"/>
  <c r="T115" i="1"/>
  <c r="T245" i="1"/>
  <c r="T218" i="1"/>
  <c r="T155" i="1"/>
  <c r="T110" i="1"/>
  <c r="T101" i="1"/>
  <c r="T911" i="1"/>
  <c r="T912" i="1"/>
  <c r="T668" i="1"/>
  <c r="T669" i="1"/>
  <c r="T74" i="1"/>
  <c r="T73" i="1"/>
  <c r="T773" i="1"/>
  <c r="T774" i="1"/>
  <c r="T194" i="1"/>
  <c r="T195" i="1"/>
  <c r="T175" i="1"/>
  <c r="T176" i="1"/>
  <c r="T706" i="1"/>
  <c r="T929" i="1"/>
  <c r="T586" i="1"/>
  <c r="T810" i="1"/>
  <c r="T645" i="1"/>
  <c r="T594" i="1"/>
  <c r="T905" i="1"/>
  <c r="T944" i="1"/>
  <c r="T909" i="1"/>
  <c r="T872" i="1"/>
  <c r="T617" i="1"/>
  <c r="T60" i="1"/>
  <c r="T848" i="1"/>
  <c r="T792" i="1"/>
  <c r="T940" i="1"/>
  <c r="T831" i="1"/>
  <c r="T687" i="1"/>
  <c r="T539" i="1"/>
  <c r="T264" i="1"/>
  <c r="T433" i="1"/>
  <c r="T388" i="1"/>
  <c r="T352" i="1"/>
  <c r="T552" i="1"/>
  <c r="T463" i="1"/>
  <c r="T436" i="1"/>
  <c r="T396" i="1"/>
  <c r="T548" i="1"/>
  <c r="T507" i="1"/>
  <c r="T485" i="1"/>
  <c r="T341" i="1"/>
  <c r="T314" i="1"/>
  <c r="T538" i="1"/>
  <c r="T520" i="1"/>
  <c r="T511" i="1"/>
  <c r="T484" i="1"/>
  <c r="T466" i="1"/>
  <c r="T448" i="1"/>
  <c r="T439" i="1"/>
  <c r="T403" i="1"/>
  <c r="T358" i="1"/>
  <c r="T318" i="1"/>
  <c r="T557" i="1"/>
  <c r="T351" i="1"/>
  <c r="T237" i="1"/>
  <c r="T257" i="1"/>
  <c r="T222" i="1"/>
  <c r="T398" i="1"/>
  <c r="T387" i="1"/>
  <c r="T360" i="1"/>
  <c r="T256" i="1"/>
  <c r="T229" i="1"/>
  <c r="T148" i="1"/>
  <c r="T273" i="1"/>
  <c r="T356" i="1"/>
  <c r="T347" i="1"/>
  <c r="T276" i="1"/>
  <c r="T232" i="1"/>
  <c r="T132" i="1"/>
  <c r="T339" i="1"/>
  <c r="T315" i="1"/>
  <c r="T177" i="1"/>
  <c r="T96" i="1"/>
  <c r="T201" i="1"/>
  <c r="T292" i="1"/>
  <c r="T223" i="1"/>
  <c r="T134" i="1"/>
  <c r="T299" i="1"/>
  <c r="T296" i="1"/>
  <c r="T252" i="1"/>
  <c r="T215" i="1"/>
  <c r="T179" i="1"/>
  <c r="T125" i="1"/>
  <c r="T326" i="1"/>
  <c r="T236" i="1"/>
  <c r="T386" i="1"/>
  <c r="T385" i="1"/>
  <c r="T932" i="1"/>
  <c r="T933" i="1"/>
  <c r="T711" i="1"/>
  <c r="T710" i="1"/>
  <c r="T699" i="1"/>
  <c r="T698" i="1"/>
  <c r="T663" i="1"/>
  <c r="T662" i="1"/>
  <c r="T821" i="1"/>
  <c r="T822" i="1"/>
  <c r="T884" i="1"/>
  <c r="T885" i="1"/>
  <c r="T861" i="1"/>
  <c r="T860" i="1"/>
  <c r="T836" i="1"/>
  <c r="T837" i="1"/>
  <c r="T824" i="1"/>
  <c r="T825" i="1"/>
  <c r="T812" i="1"/>
  <c r="T813" i="1"/>
  <c r="T789" i="1"/>
  <c r="T788" i="1"/>
  <c r="T764" i="1"/>
  <c r="T765" i="1"/>
  <c r="T717" i="1"/>
  <c r="T716" i="1"/>
  <c r="T680" i="1"/>
  <c r="T681" i="1"/>
  <c r="T608" i="1"/>
  <c r="T609" i="1"/>
  <c r="T68" i="1"/>
  <c r="T67" i="1"/>
  <c r="T768" i="1"/>
  <c r="T767" i="1"/>
  <c r="T728" i="1"/>
  <c r="T727" i="1"/>
  <c r="T708" i="1"/>
  <c r="T707" i="1"/>
  <c r="T346" i="1"/>
  <c r="T345" i="1"/>
  <c r="T373" i="1"/>
  <c r="T374" i="1"/>
  <c r="T916" i="1"/>
  <c r="T915" i="1"/>
  <c r="T892" i="1"/>
  <c r="T891" i="1"/>
  <c r="T856" i="1"/>
  <c r="T855" i="1"/>
  <c r="T844" i="1"/>
  <c r="T843" i="1"/>
  <c r="T820" i="1"/>
  <c r="T819" i="1"/>
  <c r="T808" i="1"/>
  <c r="T807" i="1"/>
  <c r="T783" i="1"/>
  <c r="T784" i="1"/>
  <c r="T735" i="1"/>
  <c r="T736" i="1"/>
  <c r="T628" i="1"/>
  <c r="T627" i="1"/>
  <c r="T604" i="1"/>
  <c r="T603" i="1"/>
  <c r="T568" i="1"/>
  <c r="T567" i="1"/>
  <c r="T364" i="1"/>
  <c r="T365" i="1"/>
  <c r="T337" i="1"/>
  <c r="T338" i="1"/>
  <c r="T454" i="1"/>
  <c r="T453" i="1"/>
  <c r="T512" i="1"/>
  <c r="T513" i="1"/>
  <c r="T478" i="1"/>
  <c r="T479" i="1"/>
  <c r="T469" i="1"/>
  <c r="T470" i="1"/>
  <c r="T562" i="1"/>
  <c r="T561" i="1"/>
  <c r="T544" i="1"/>
  <c r="T543" i="1"/>
  <c r="T490" i="1"/>
  <c r="T489" i="1"/>
  <c r="T450" i="1"/>
  <c r="T449" i="1"/>
  <c r="T546" i="1"/>
  <c r="T545" i="1"/>
  <c r="T500" i="1"/>
  <c r="T501" i="1"/>
  <c r="T474" i="1"/>
  <c r="T473" i="1"/>
  <c r="T447" i="1"/>
  <c r="T446" i="1"/>
  <c r="T320" i="1"/>
  <c r="T319" i="1"/>
  <c r="T241" i="1"/>
  <c r="T370" i="1"/>
  <c r="T451" i="1"/>
  <c r="T287" i="1"/>
  <c r="T285" i="1"/>
  <c r="T143" i="1"/>
  <c r="T224" i="1"/>
  <c r="T259" i="1"/>
  <c r="T333" i="1"/>
  <c r="T85" i="1"/>
  <c r="T420" i="1"/>
  <c r="T94" i="1"/>
  <c r="T312" i="1"/>
  <c r="T408" i="1"/>
  <c r="T516" i="1"/>
  <c r="T391" i="1"/>
  <c r="T260" i="1"/>
  <c r="T334" i="1"/>
  <c r="T147" i="1"/>
  <c r="T527" i="1"/>
  <c r="T409" i="1"/>
  <c r="T369" i="1"/>
  <c r="T465" i="1"/>
  <c r="T91" i="1"/>
  <c r="T172" i="1"/>
  <c r="T280" i="1"/>
  <c r="T308" i="1"/>
  <c r="T80" i="1"/>
  <c r="T188" i="1"/>
  <c r="T269" i="1"/>
  <c r="T88" i="1"/>
  <c r="T169" i="1"/>
  <c r="T211" i="1"/>
  <c r="T159" i="1"/>
  <c r="T139" i="1"/>
  <c r="T249" i="1"/>
  <c r="T366" i="1"/>
  <c r="T393" i="1"/>
  <c r="T183" i="1"/>
  <c r="T324" i="1"/>
  <c r="T389" i="1"/>
  <c r="T434" i="1"/>
  <c r="T349" i="1"/>
  <c r="T797" i="1"/>
  <c r="T642" i="1"/>
  <c r="T814" i="1"/>
  <c r="T750" i="1"/>
  <c r="T191" i="1"/>
  <c r="T153" i="1"/>
  <c r="T97" i="1"/>
  <c r="T112" i="1"/>
  <c r="T93" i="1"/>
  <c r="T429" i="1"/>
  <c r="T187" i="1"/>
  <c r="T113" i="1"/>
  <c r="T203" i="1"/>
  <c r="T477" i="1"/>
  <c r="T323" i="1"/>
  <c r="T247" i="1"/>
  <c r="T336" i="1"/>
  <c r="T549" i="1"/>
  <c r="T377" i="1"/>
  <c r="T419" i="1"/>
  <c r="T457" i="1"/>
  <c r="T472" i="1"/>
  <c r="T550" i="1"/>
  <c r="T142" i="1"/>
  <c r="T534" i="1"/>
  <c r="T306" i="1"/>
  <c r="T493" i="1"/>
  <c r="T536" i="1"/>
  <c r="T522" i="1"/>
  <c r="T558" i="1"/>
  <c r="T612" i="1"/>
  <c r="T565" i="1"/>
  <c r="T584" i="1"/>
  <c r="T752" i="1"/>
  <c r="T656" i="1"/>
  <c r="T753" i="1"/>
  <c r="T578" i="1"/>
  <c r="T614" i="1"/>
  <c r="T741" i="1"/>
  <c r="T770" i="1"/>
  <c r="T921" i="1"/>
  <c r="T555" i="1"/>
  <c r="T644" i="1"/>
  <c r="T804" i="1"/>
  <c r="T801" i="1"/>
  <c r="T762" i="1"/>
  <c r="T778" i="1"/>
  <c r="T866" i="1"/>
  <c r="T610" i="1"/>
  <c r="T690" i="1"/>
  <c r="T849" i="1"/>
  <c r="T738" i="1"/>
  <c r="T660" i="1"/>
  <c r="T925" i="1"/>
  <c r="T486" i="1"/>
  <c r="T853" i="1"/>
  <c r="T852" i="1"/>
  <c r="T581" i="1"/>
  <c r="T657" i="1"/>
  <c r="T817" i="1"/>
  <c r="T818" i="1"/>
  <c r="T873" i="1"/>
  <c r="T874" i="1"/>
  <c r="T61" i="1"/>
  <c r="T62" i="1"/>
  <c r="T900" i="1"/>
  <c r="T653" i="1"/>
  <c r="T882" i="1"/>
  <c r="T723" i="1"/>
  <c r="T867" i="1"/>
  <c r="T494" i="1"/>
  <c r="T759" i="1"/>
  <c r="T903" i="1"/>
  <c r="T392" i="1"/>
  <c r="T688" i="1"/>
  <c r="T354" i="1"/>
  <c r="T483" i="1"/>
  <c r="T342" i="1"/>
  <c r="T412" i="1"/>
  <c r="T411" i="1"/>
  <c r="T418" i="1"/>
  <c r="T246" i="1"/>
  <c r="T390" i="1"/>
  <c r="T430" i="1"/>
  <c r="T532" i="1"/>
  <c r="T400" i="1"/>
  <c r="T637" i="1"/>
  <c r="T673" i="1"/>
  <c r="T674" i="1"/>
  <c r="T376" i="1"/>
  <c r="T496" i="1"/>
  <c r="T335" i="1"/>
  <c r="T579" i="1"/>
  <c r="T458" i="1"/>
  <c r="T615" i="1"/>
  <c r="T683" i="1"/>
  <c r="T537" i="1"/>
  <c r="T832" i="1"/>
  <c r="T182" i="1"/>
  <c r="T540" i="1"/>
  <c r="T740" i="1"/>
  <c r="T221" i="1"/>
  <c r="T456" i="1"/>
  <c r="T510" i="1"/>
  <c r="T583" i="1"/>
  <c r="T631" i="1"/>
  <c r="T307" i="1"/>
  <c r="T353" i="1"/>
  <c r="T425" i="1"/>
  <c r="T461" i="1"/>
  <c r="T497" i="1"/>
  <c r="T533" i="1"/>
  <c r="T651" i="1"/>
  <c r="T795" i="1"/>
  <c r="T939" i="1"/>
  <c r="T118" i="1"/>
  <c r="T178" i="1"/>
  <c r="T397" i="1"/>
  <c r="T83" i="1"/>
  <c r="T137" i="1"/>
  <c r="T164" i="1"/>
  <c r="T272" i="1"/>
  <c r="T206" i="1"/>
  <c r="T233" i="1"/>
  <c r="T435" i="1"/>
  <c r="T239" i="1"/>
  <c r="T277" i="1"/>
  <c r="T105" i="1"/>
  <c r="T84" i="1"/>
  <c r="T165" i="1"/>
  <c r="T204" i="1"/>
  <c r="T295" i="1"/>
  <c r="T329" i="1"/>
  <c r="T384" i="1"/>
  <c r="T658" i="1"/>
  <c r="T754" i="1"/>
  <c r="T230" i="1"/>
  <c r="T291" i="1"/>
  <c r="T372" i="1"/>
  <c r="T438" i="1"/>
  <c r="T492" i="1"/>
  <c r="T664" i="1"/>
  <c r="T700" i="1"/>
  <c r="T772" i="1"/>
  <c r="T72" i="1"/>
  <c r="T209" i="1"/>
  <c r="T263" i="1"/>
  <c r="T290" i="1"/>
  <c r="T317" i="1"/>
  <c r="T184" i="1"/>
  <c r="T265" i="1"/>
  <c r="T305" i="1"/>
  <c r="T174" i="1"/>
  <c r="T348" i="1"/>
  <c r="T375" i="1"/>
  <c r="T402" i="1"/>
  <c r="T140" i="1"/>
  <c r="T248" i="1"/>
  <c r="T382" i="1"/>
  <c r="T676" i="1"/>
  <c r="T712" i="1"/>
  <c r="T748" i="1"/>
  <c r="T936" i="1"/>
  <c r="T298" i="1"/>
  <c r="T297" i="1"/>
  <c r="T127" i="1"/>
  <c r="T89" i="1"/>
  <c r="T116" i="1"/>
  <c r="T197" i="1"/>
  <c r="T278" i="1"/>
  <c r="T255" i="1"/>
  <c r="T284" i="1"/>
  <c r="T244" i="1"/>
  <c r="T227" i="1"/>
  <c r="T129" i="1"/>
  <c r="T519" i="1"/>
  <c r="T531" i="1"/>
  <c r="T205" i="1"/>
  <c r="T120" i="1"/>
  <c r="T282" i="1"/>
  <c r="T302" i="1"/>
  <c r="T383" i="1"/>
  <c r="T121" i="1"/>
  <c r="T325" i="1"/>
  <c r="T271" i="1"/>
  <c r="T166" i="1"/>
  <c r="T261" i="1"/>
  <c r="T146" i="1"/>
  <c r="T145" i="1"/>
  <c r="T199" i="1"/>
  <c r="T226" i="1"/>
  <c r="T242" i="1"/>
  <c r="T192" i="1"/>
  <c r="T258" i="1"/>
  <c r="T86" i="1"/>
  <c r="T131" i="1"/>
  <c r="T225" i="1"/>
  <c r="T98" i="1"/>
  <c r="T228" i="1"/>
  <c r="T117" i="1"/>
  <c r="T92" i="1"/>
  <c r="T173" i="1"/>
  <c r="T254" i="1"/>
  <c r="T161" i="1"/>
  <c r="T87" i="1"/>
  <c r="T138" i="1"/>
  <c r="T128" i="1"/>
  <c r="T81" i="1"/>
  <c r="T189" i="1"/>
  <c r="T170" i="1"/>
  <c r="T150" i="1"/>
  <c r="T82" i="1"/>
  <c r="T109" i="1"/>
  <c r="T136" i="1"/>
  <c r="T163" i="1"/>
  <c r="T190" i="1"/>
  <c r="T217" i="1"/>
  <c r="T235" i="1"/>
  <c r="T251" i="1"/>
  <c r="T111" i="1"/>
  <c r="T231" i="1"/>
  <c r="T156" i="1"/>
  <c r="T300" i="1"/>
  <c r="T181" i="1"/>
  <c r="T289" i="1"/>
  <c r="T100" i="1"/>
  <c r="T208" i="1"/>
  <c r="T316" i="1"/>
  <c r="T154" i="1"/>
  <c r="T262" i="1"/>
  <c r="T200" i="1"/>
  <c r="T281" i="1"/>
  <c r="T186" i="1"/>
  <c r="T149" i="1"/>
  <c r="T114" i="1"/>
  <c r="T210" i="1"/>
  <c r="T168" i="1"/>
  <c r="T212" i="1"/>
  <c r="T293" i="1"/>
  <c r="T330" i="1"/>
  <c r="T104" i="1"/>
  <c r="T185" i="1"/>
  <c r="T266" i="1"/>
  <c r="T240" i="1"/>
  <c r="T267" i="1"/>
  <c r="T294" i="1"/>
  <c r="T77" i="1"/>
  <c r="T158" i="1"/>
  <c r="T78" i="1"/>
  <c r="T303" i="1"/>
  <c r="T99" i="1"/>
  <c r="T126" i="1"/>
  <c r="T180" i="1"/>
  <c r="T207" i="1"/>
  <c r="T234" i="1"/>
  <c r="T270" i="1"/>
  <c r="T108" i="1"/>
  <c r="T135" i="1"/>
  <c r="T162" i="1"/>
  <c r="T216" i="1"/>
  <c r="T243" i="1"/>
  <c r="T279" i="1"/>
  <c r="T90" i="1"/>
  <c r="T144" i="1"/>
  <c r="T171" i="1"/>
  <c r="T19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<sst xmlns="http://schemas.openxmlformats.org/spreadsheetml/2006/main" count="1767" uniqueCount="494">
  <si>
    <t>SPRINT SCHEDULE</t>
  </si>
  <si>
    <t>TIME EFFORT LOG</t>
  </si>
  <si>
    <t>TIME CALCULATIONS</t>
  </si>
  <si>
    <t>Do not edit dark-shaded cells, only the white and light gray cells.</t>
  </si>
  <si>
    <t>All values calculated, do not edit</t>
  </si>
  <si>
    <t>Sprint Start</t>
  </si>
  <si>
    <t>Sprint End</t>
  </si>
  <si>
    <t>Sprint #</t>
  </si>
  <si>
    <t>Quarter #</t>
  </si>
  <si>
    <t>Sprint</t>
  </si>
  <si>
    <t>Date</t>
  </si>
  <si>
    <t>Member</t>
  </si>
  <si>
    <t>Hours Spent</t>
  </si>
  <si>
    <t>Task</t>
  </si>
  <si>
    <t>MEMBERS' TOTALS</t>
  </si>
  <si>
    <t>TIME</t>
  </si>
  <si>
    <t>Steven</t>
  </si>
  <si>
    <t>Course Kickoff and Project Selection</t>
  </si>
  <si>
    <t>Hours (Fall)</t>
  </si>
  <si>
    <t>Hours (Spring)</t>
  </si>
  <si>
    <t>Hours (YTD)</t>
  </si>
  <si>
    <t>AVG Weekly Hours (Spring)</t>
  </si>
  <si>
    <t>AVG Weekly Hours (Overall)</t>
  </si>
  <si>
    <t>Weeks / Sem</t>
  </si>
  <si>
    <t>Zack</t>
  </si>
  <si>
    <t>Weeks / Year</t>
  </si>
  <si>
    <t>Harrison</t>
  </si>
  <si>
    <t>Fall Semester Start</t>
  </si>
  <si>
    <t>Riley</t>
  </si>
  <si>
    <t>Spring Semester Start</t>
  </si>
  <si>
    <t>FALL RECESS</t>
  </si>
  <si>
    <t>Interview and PM setup</t>
  </si>
  <si>
    <t>Current Date</t>
  </si>
  <si>
    <t>Elapsed Days</t>
  </si>
  <si>
    <t>Ricardo</t>
  </si>
  <si>
    <t>Interview</t>
  </si>
  <si>
    <t>Elapsed Weeks</t>
  </si>
  <si>
    <t>Jira and PM setup</t>
  </si>
  <si>
    <t>VALUE</t>
  </si>
  <si>
    <t>FALL TOTAL</t>
  </si>
  <si>
    <t>SPRING TOTAL</t>
  </si>
  <si>
    <t>YEAR TOTAL</t>
  </si>
  <si>
    <t>YEAR GOAL</t>
  </si>
  <si>
    <t>DELTA</t>
  </si>
  <si>
    <t>Sprints : Fall</t>
  </si>
  <si>
    <t>THANKSGIVING</t>
  </si>
  <si>
    <t>Initial Meeting</t>
  </si>
  <si>
    <t>TOTAL WORKING HOURS</t>
  </si>
  <si>
    <t>Sprints : Spring</t>
  </si>
  <si>
    <t>TOTAL WORKING DAYS</t>
  </si>
  <si>
    <t>FALL FINALS</t>
  </si>
  <si>
    <t># Members</t>
  </si>
  <si>
    <t>/</t>
  </si>
  <si>
    <t>WINTER BREAK</t>
  </si>
  <si>
    <t>Avg Hours/Week</t>
  </si>
  <si>
    <t>Version control research</t>
  </si>
  <si>
    <t>Avg Hours/Member</t>
  </si>
  <si>
    <t>Policy and Logistics Meeting</t>
  </si>
  <si>
    <t>Avg Hours/Member/Week</t>
  </si>
  <si>
    <t>SPRING RECESS</t>
  </si>
  <si>
    <t>Steven's Data Playground</t>
  </si>
  <si>
    <t>Hours logged</t>
  </si>
  <si>
    <t>Days / Sprint</t>
  </si>
  <si>
    <t>Avg Hours / Day</t>
  </si>
  <si>
    <t>Hours / Day / Member</t>
  </si>
  <si>
    <t>Contributed / Expected</t>
  </si>
  <si>
    <t>&lt;- Velocity</t>
  </si>
  <si>
    <t>Game design presentation</t>
  </si>
  <si>
    <t>Ever since I was a</t>
  </si>
  <si>
    <t>Lecture 1</t>
  </si>
  <si>
    <t>young child, I knew I wanted</t>
  </si>
  <si>
    <t>to turn unstructured data</t>
  </si>
  <si>
    <t>SPRING FINALS</t>
  </si>
  <si>
    <t>into actionable business</t>
  </si>
  <si>
    <t>insights.</t>
  </si>
  <si>
    <t>Quick membership vote</t>
  </si>
  <si>
    <t>Perforce and tunneling setup</t>
  </si>
  <si>
    <t>Weekly Scrum</t>
  </si>
  <si>
    <t>Logan</t>
  </si>
  <si>
    <t>Detective game idea</t>
  </si>
  <si>
    <t>Finish game design presentation</t>
  </si>
  <si>
    <t>Game design planning</t>
  </si>
  <si>
    <t>Highest Velocity</t>
  </si>
  <si>
    <t>Average Velocity</t>
  </si>
  <si>
    <t>Robot game and Sailing game concept</t>
  </si>
  <si>
    <t>Island Song concept</t>
  </si>
  <si>
    <t>Game ideas meeting</t>
  </si>
  <si>
    <t>[^\w+]+|((?&lt;!po|str|bol|j|ana)(ing|ly|able|ly|ized|ated|ible|ity|tion|s\*))</t>
  </si>
  <si>
    <t>Lower cased, non-word chars removed</t>
  </si>
  <si>
    <t>Italicized words are stopwords</t>
  </si>
  <si>
    <t>Lower is more frequent</t>
  </si>
  <si>
    <t>Vocabulary</t>
  </si>
  <si>
    <t>Preprocessed</t>
  </si>
  <si>
    <t>Unique</t>
  </si>
  <si>
    <t>DF</t>
  </si>
  <si>
    <t>Sorted words by frequency</t>
  </si>
  <si>
    <t>IDF</t>
  </si>
  <si>
    <t>Zipf Frequency</t>
  </si>
  <si>
    <t>Island Song presentation</t>
  </si>
  <si>
    <t>Game Ideas presentation</t>
  </si>
  <si>
    <t>Ravensgard Presentation</t>
  </si>
  <si>
    <t>Sprint Prep and Planning</t>
  </si>
  <si>
    <t>Sprint Planning</t>
  </si>
  <si>
    <t>Half of all words occured only once in recorded tasks</t>
  </si>
  <si>
    <t>20% of all words used account for &gt;80% of the words in recorded tasks</t>
  </si>
  <si>
    <t>Note that there is no preprocessing other than case-insensitivity</t>
  </si>
  <si>
    <t>Stemming would also be valuable for this analysis</t>
  </si>
  <si>
    <t>(I.E. Plan and Planning appear separately)</t>
  </si>
  <si>
    <t>Client Meeting</t>
  </si>
  <si>
    <t>Project proposal</t>
  </si>
  <si>
    <t>Project proposal presentation</t>
  </si>
  <si>
    <t>Project proposal document DocuSign (Team Members)</t>
  </si>
  <si>
    <t>Project proposal document DocuSign (Bolinger, Client)</t>
  </si>
  <si>
    <t>Create Unreal Project, add player, sculpt world</t>
  </si>
  <si>
    <t>Make world in Gaea, Import to Unreal</t>
  </si>
  <si>
    <t>Story Bible</t>
  </si>
  <si>
    <t>Making time log</t>
  </si>
  <si>
    <t>World materials and appearance</t>
  </si>
  <si>
    <t>Add Unreal project to Perforce</t>
  </si>
  <si>
    <t>Get Perforce working</t>
  </si>
  <si>
    <t>Create Perforce workspace</t>
  </si>
  <si>
    <t>Logo Designing</t>
  </si>
  <si>
    <t>UI Reference Gathering</t>
  </si>
  <si>
    <t>Perforce licensing</t>
  </si>
  <si>
    <t>Collecting Assets and organizing into document</t>
  </si>
  <si>
    <t>Work in unreal collecting concept art</t>
  </si>
  <si>
    <t>Writing my story ideas</t>
  </si>
  <si>
    <t>Risk Assessment Document</t>
  </si>
  <si>
    <t>Story and Vision Document</t>
  </si>
  <si>
    <t>Vision Document</t>
  </si>
  <si>
    <t>Found the issue with the perforce licences</t>
  </si>
  <si>
    <t>Help set up Perforce</t>
  </si>
  <si>
    <t>Help set up Perforce, work on landscape material</t>
  </si>
  <si>
    <t>Set up Perforce</t>
  </si>
  <si>
    <t>Working on importing assets in Unreal (for practice)</t>
  </si>
  <si>
    <t>Investigate and fix teammates perforce commit errors</t>
  </si>
  <si>
    <t>Research and implement world partition system</t>
  </si>
  <si>
    <t>Unreal Engine and UI Research</t>
  </si>
  <si>
    <t>Add some foliage and sculpt cave</t>
  </si>
  <si>
    <t>Coding meeting with Riley</t>
  </si>
  <si>
    <t>Coding meeting with Zack</t>
  </si>
  <si>
    <t>Concept art in Unreal and practing landscape tool</t>
  </si>
  <si>
    <t>RIley</t>
  </si>
  <si>
    <t>Rivers</t>
  </si>
  <si>
    <t>Preliminary Report</t>
  </si>
  <si>
    <t>Reorganize SharePoint</t>
  </si>
  <si>
    <t>Paint marshland and jungle landscape layers, work on rivers, add palisade wall between brass and woodwinds</t>
  </si>
  <si>
    <t>Add sprinting, experiment with physics actors</t>
  </si>
  <si>
    <t>Add walls to brass / keys, strings / percussion, and woodwinds / percussion, start to decorate keys, restart creating rivers</t>
  </si>
  <si>
    <t>Call with Perforce team</t>
  </si>
  <si>
    <t>Setup Ricardo with Perforce</t>
  </si>
  <si>
    <t>Setup Perforce</t>
  </si>
  <si>
    <t>Setting up bucket blueprint for winds puzzle</t>
  </si>
  <si>
    <t xml:space="preserve">Project Plan </t>
  </si>
  <si>
    <t>Trying to add interaction between player and bucket</t>
  </si>
  <si>
    <t>Finish rivers, add shells and coral</t>
  </si>
  <si>
    <t>Add palm trees</t>
  </si>
  <si>
    <t>Work in Unreal and preparing tree assets</t>
  </si>
  <si>
    <t>Add many new rocks, grass, trees, and little islands around the island. Put some floating islands and bridges in the center lake.</t>
  </si>
  <si>
    <t>Talking with IT about SharePoint</t>
  </si>
  <si>
    <t>Recording tour video</t>
  </si>
  <si>
    <t>Start Screen Implement and Research</t>
  </si>
  <si>
    <t>Learning blueprints mechanics</t>
  </si>
  <si>
    <t>Working on Slides</t>
  </si>
  <si>
    <t>Editing tour video</t>
  </si>
  <si>
    <t>Midterm presentation work</t>
  </si>
  <si>
    <t>Midterm presentation work and practice</t>
  </si>
  <si>
    <t>Midterm presentation lecture time</t>
  </si>
  <si>
    <t xml:space="preserve">Learning Unreal Engine and Sharepoint File Backup </t>
  </si>
  <si>
    <t>Z</t>
  </si>
  <si>
    <t>Midterm Report</t>
  </si>
  <si>
    <t>Options Menu Creation</t>
  </si>
  <si>
    <t>Unreal Engine Research (Tutorial Watching)</t>
  </si>
  <si>
    <t>Implemented Main Menu Animation / UI / Play and Quit</t>
  </si>
  <si>
    <t>Trying to get bucket to work still</t>
  </si>
  <si>
    <t>Budget work</t>
  </si>
  <si>
    <t>Instrument testing</t>
  </si>
  <si>
    <t>Getting crystal buttons to work in practice world</t>
  </si>
  <si>
    <t>Watch Unreal videos over object interaction</t>
  </si>
  <si>
    <t>Getting crystal button to work in game world</t>
  </si>
  <si>
    <t>Color Mechanics Work</t>
  </si>
  <si>
    <t xml:space="preserve">Logo Designing </t>
  </si>
  <si>
    <t>Fixing Bugs</t>
  </si>
  <si>
    <t>Create colored crystal materials, Make several logo versions based on Logan's ideas</t>
  </si>
  <si>
    <t>Getting Crystal Buttons into testing world</t>
  </si>
  <si>
    <t>Creating project documentation, some sounds for crystals</t>
  </si>
  <si>
    <t>Composing</t>
  </si>
  <si>
    <t>Logo design and researching custom printing, choosing some possible paid assets</t>
  </si>
  <si>
    <t>Communicating about budget</t>
  </si>
  <si>
    <t>Adding color mechanic to world</t>
  </si>
  <si>
    <t>b</t>
  </si>
  <si>
    <t>Added Pause Menu, Settings Menu, and Escape Button Feature, as well as sound design research</t>
  </si>
  <si>
    <t>Fixed remaining errors and warnings</t>
  </si>
  <si>
    <t>Creating documentation for color mechanic</t>
  </si>
  <si>
    <t xml:space="preserve">Add walls to Woodwind forest and Percussion town, place crystals and pads in Keys cave, add bridges to Brass marshland </t>
  </si>
  <si>
    <t>Fix buttons, add pressed sound, begin creating level</t>
  </si>
  <si>
    <t>Add passage from keys to brass, add paths everywhere, build castle town, reorganize outliner</t>
  </si>
  <si>
    <t>Complete button functionality for keys puzzle</t>
  </si>
  <si>
    <t>Sprint Prep + Planning</t>
  </si>
  <si>
    <t>Keys Puzzle Documentation</t>
  </si>
  <si>
    <t>More work on Keys logic</t>
  </si>
  <si>
    <t>Added Common UI Support, Async Loading Screen Support and Basic Loading Screens</t>
  </si>
  <si>
    <t>Logos</t>
  </si>
  <si>
    <t>Worked on color trail behind user</t>
  </si>
  <si>
    <t>Move generated files from modeing tool, logos</t>
  </si>
  <si>
    <t>Fix collisions</t>
  </si>
  <si>
    <t>Moved UI to Common UI for enhanced UI features</t>
  </si>
  <si>
    <t>Keys Music</t>
  </si>
  <si>
    <t>File Cleanup, Attempt to Fix Standalone Game not recognizing player behaviors</t>
  </si>
  <si>
    <t>Make color demo video</t>
  </si>
  <si>
    <t>Make world tour video</t>
  </si>
  <si>
    <t>Client meeting</t>
  </si>
  <si>
    <t>Attempted debugging with Logan</t>
  </si>
  <si>
    <t>Finish logos, brand colors, and font selection</t>
  </si>
  <si>
    <t>Team leaders meeting</t>
  </si>
  <si>
    <t>Make doors move, make keys display crystals show sequence</t>
  </si>
  <si>
    <t>Finish keys puzzle</t>
  </si>
  <si>
    <t>Fix an error I created with my door C++ class</t>
  </si>
  <si>
    <t>Change landscape textures, redo foliage in Woodwind Forest and Brass Marshland, add some fences and lanters, fix some material emmission qualities</t>
  </si>
  <si>
    <t>learning modeling / landscaping, cave modeling twice because UE wouldn't stop giving me reference errors, documentation page in sharepoint</t>
  </si>
  <si>
    <t>Music</t>
  </si>
  <si>
    <t>Added glowing footsteps that follow character as walk/sprint</t>
  </si>
  <si>
    <t>Edited Post process volume to have sky back in color</t>
  </si>
  <si>
    <t>Fixed display error and added boundary for keys puzzle</t>
  </si>
  <si>
    <t>Creating custom depth stencil to apply to certain assets for color mechanic</t>
  </si>
  <si>
    <t>Restore color back to ocean</t>
  </si>
  <si>
    <t>Sprint prep + planning</t>
  </si>
  <si>
    <t>Worked on options menu in-game</t>
  </si>
  <si>
    <t>Sprint prep + planning + shirts</t>
  </si>
  <si>
    <t>Sprint planning</t>
  </si>
  <si>
    <t>Add ambient keys music, add daylight cycle, fix paths near cave entrance</t>
  </si>
  <si>
    <t>Added UI Menus, Continued Settings Menu, Added new logo, and quit confirmation</t>
  </si>
  <si>
    <t>Added support for control remapping</t>
  </si>
  <si>
    <t>Added basic key-binding in-game, needs cleaning and menu correction</t>
  </si>
  <si>
    <t>cutscene work</t>
  </si>
  <si>
    <t>Finding warning and fixing them as well as attempting to add win event</t>
  </si>
  <si>
    <t>Work on fixing footsteps too ovals and work on trying to fix greyscale on titlescreen</t>
  </si>
  <si>
    <t>Fixed Menus for Finals Showcase (mostly), Added reset button for keybinds</t>
  </si>
  <si>
    <t>Final presentation, Place new jungle assets, boat, and start on new castle</t>
  </si>
  <si>
    <t>Final presentation</t>
  </si>
  <si>
    <t>Ironed out animation bugs with cave cutscene and open doors</t>
  </si>
  <si>
    <t>Practicing and improving final presentation</t>
  </si>
  <si>
    <t>Fix color  mechanic for footprints</t>
  </si>
  <si>
    <t>Final presentation practice + submission</t>
  </si>
  <si>
    <t>Final presentation practice</t>
  </si>
  <si>
    <t>Getting khakis for group the night before presentation following late night presentation practice</t>
  </si>
  <si>
    <t>Final presentation day!</t>
  </si>
  <si>
    <t>Story bible cleanup and collaboration communication</t>
  </si>
  <si>
    <t>Jungle music</t>
  </si>
  <si>
    <t>Comparing schedules for next semester</t>
  </si>
  <si>
    <t>Cleaning up assets, renaming and reorganizing files</t>
  </si>
  <si>
    <t>Scheduling</t>
  </si>
  <si>
    <t>First scrum meeting</t>
  </si>
  <si>
    <t>Sprint prep + planning meeting</t>
  </si>
  <si>
    <t>Percussion Puzzle Meeting</t>
  </si>
  <si>
    <t>Meeting with Emma</t>
  </si>
  <si>
    <t>Capstone lecture 1</t>
  </si>
  <si>
    <t>String Puzzle Meeting</t>
  </si>
  <si>
    <t>UI Documentation</t>
  </si>
  <si>
    <t>Weekly scrum, puzzle idea presentation</t>
  </si>
  <si>
    <t>Cleaning up assets and learning UI system</t>
  </si>
  <si>
    <t>Learning Decals in UE</t>
  </si>
  <si>
    <t>Redesign main menu UI and add jungle music</t>
  </si>
  <si>
    <t>Rework Menu Stack and UI Controllers</t>
  </si>
  <si>
    <t>Change the Menu Game mode and use new Player Controller</t>
  </si>
  <si>
    <t>Researching color mechanic</t>
  </si>
  <si>
    <t>Working on color mechanic</t>
  </si>
  <si>
    <t>Work on modular camera system</t>
  </si>
  <si>
    <t>Asset Research</t>
  </si>
  <si>
    <t>Updating Color Mechanic Documentation</t>
  </si>
  <si>
    <t>Asset Research and Puzzle Logic Creation and Documentation</t>
  </si>
  <si>
    <t>Weekly scrum</t>
  </si>
  <si>
    <t>More UI changes, Adding new castle</t>
  </si>
  <si>
    <t>implemented interact prompt and outline</t>
  </si>
  <si>
    <t>Sprint prep and planning</t>
  </si>
  <si>
    <t>Work with vines</t>
  </si>
  <si>
    <t>Sliding Block Puzzle Creation</t>
  </si>
  <si>
    <t>Settings menu design</t>
  </si>
  <si>
    <t>Working on pick up/put down for vines</t>
  </si>
  <si>
    <t>Sliding Block Puzzle</t>
  </si>
  <si>
    <t>Composing percussion woods music, C++ classes for loading settings into schema</t>
  </si>
  <si>
    <t>Clearing out jungle section for puzzle + camera work</t>
  </si>
  <si>
    <t>Working on pick up/put down mechanic for vines</t>
  </si>
  <si>
    <t>Sliding Block Puzzle Mechanics</t>
  </si>
  <si>
    <t>Outline troubleshooting and music note modeling</t>
  </si>
  <si>
    <t>Finished area color restoration and fixed bug</t>
  </si>
  <si>
    <t>Camera work for jungle puzzle</t>
  </si>
  <si>
    <t>Working on pick up mechanic for string puzzle</t>
  </si>
  <si>
    <t>Bug Fixing for Sliding Block Puzzle Mechanics</t>
  </si>
  <si>
    <t>Worked on pick-up mechanic and redid design for vine</t>
  </si>
  <si>
    <t>Fixed graphical banding in ocean + color blend into river</t>
  </si>
  <si>
    <t>Communication Coaching session</t>
  </si>
  <si>
    <t>Work on pick-up mechanic for strings puzzle</t>
  </si>
  <si>
    <t>Pushed Puzzle to Perforce</t>
  </si>
  <si>
    <t>Refine camera and set up location for puzzle</t>
  </si>
  <si>
    <t>Try and fail to fix doors, connect new settings menu to the start menu</t>
  </si>
  <si>
    <t>Make settings screen use categories, reskin UI controls</t>
  </si>
  <si>
    <t>Finish pickup and put down mechanic</t>
  </si>
  <si>
    <t>Work on vine a little. Place pegs and vines and work on String puzzle logic</t>
  </si>
  <si>
    <t>updated forest layout / modeled low poly drum / modeled final music notes needed / had to troubleshoot drum import a bit / modeled stone tiles</t>
  </si>
  <si>
    <t>Bug fixing for Block Puzzle</t>
  </si>
  <si>
    <t>Made Block Puzzle expandable to any size, and more testing and bug fixing; moved puzzle to perforce</t>
  </si>
  <si>
    <t>Confirm dialog for exiting to main menu, fix daylight cycle</t>
  </si>
  <si>
    <t>More bug fixes with Sliding Block Puzzle. System fully works properly, aside from the win con checker</t>
  </si>
  <si>
    <t>Sprint prep</t>
  </si>
  <si>
    <t>Persistent settings and trying to fix doors</t>
  </si>
  <si>
    <t>Finished area color animation</t>
  </si>
  <si>
    <t>Create collectable actor blueprint and first parkour challenge</t>
  </si>
  <si>
    <t>String puzzle documentation</t>
  </si>
  <si>
    <t>Edit camera in puzzle and consolidated interaction code</t>
  </si>
  <si>
    <t>Work on changing vine position when picked up and consolidating code</t>
  </si>
  <si>
    <t>More challenges, and create unit tests spreadsheet</t>
  </si>
  <si>
    <t>Meeting for Percussion Puzzle</t>
  </si>
  <si>
    <t>Foliage changes in Percussion Zone</t>
  </si>
  <si>
    <t>Worked on Pegs for String Puzzle</t>
  </si>
  <si>
    <t>Work on how to drop vine on pegs</t>
  </si>
  <si>
    <t>Work on pegs</t>
  </si>
  <si>
    <t>Capstone team leads meeting</t>
  </si>
  <si>
    <t>Fixed interaction sphere, changed text to drop when interacting with peg, and made vine constrained to play area</t>
  </si>
  <si>
    <t>Worked on constraining vine to play area and redoing pickup / drop mechanic</t>
  </si>
  <si>
    <t>Tree Mesh Research for broken asset meshes</t>
  </si>
  <si>
    <t>Replace problematic bamboo asset, add player crosshair and camera adjustments</t>
  </si>
  <si>
    <t>Help integrate new pick-up and drop mechanic. Began work on placing vines on pegs</t>
  </si>
  <si>
    <t>Fixed new pick-up mechanic and worked on drop mechanic</t>
  </si>
  <si>
    <t>Worked on system for falling music notes</t>
  </si>
  <si>
    <t>Added finishing touches for music notes falling and camera work</t>
  </si>
  <si>
    <t>integrating / troubleshooting with sliding tile puzzle logic, reworked it into the camera interaction system BP, created 2x2, 3x3, and 4x4 grids for the drums, segmented images to separate onto each drum as a decal, added matching symbols to nearby trees and glow effect</t>
  </si>
  <si>
    <t>Created all 5 vines for the puzzle with varying lengths</t>
  </si>
  <si>
    <t>Working on Vine placement and help trouble shoot with Riley</t>
  </si>
  <si>
    <t>Attach Peg to one end of vine and rough start of radial turn to attach 2nd peg</t>
  </si>
  <si>
    <t>Sprint prep and puzzle planning</t>
  </si>
  <si>
    <t>Percussions sounds and music</t>
  </si>
  <si>
    <t>Fix perforce server</t>
  </si>
  <si>
    <t>Work with puzzle and get teleporting with challenges working</t>
  </si>
  <si>
    <t>Creating Feedback Analysis Report</t>
  </si>
  <si>
    <t>Finishing Feedback Analysis Report</t>
  </si>
  <si>
    <t>Work on RTM for Strings Puzzle Testing</t>
  </si>
  <si>
    <t>My portion of the Feedback Analysis Report</t>
  </si>
  <si>
    <t>Resculpting rivers and landscape of Brass area</t>
  </si>
  <si>
    <t>Create key elements of the brass puzzle</t>
  </si>
  <si>
    <t>Brass area music</t>
  </si>
  <si>
    <t>Meeting with Steven to talk about puzzle</t>
  </si>
  <si>
    <t>Added win condition logic for symbol lighting and percussion puzzle area completion, updated music note lighting</t>
  </si>
  <si>
    <t>filled out feedback analysis report</t>
  </si>
  <si>
    <t>Filled out RTM for percussion puzzle testing</t>
  </si>
  <si>
    <t>Registering team for ETCS Innovation Day</t>
  </si>
  <si>
    <t>Revising Feedback Analysis Report</t>
  </si>
  <si>
    <t>Fix doors and bridges, add mountain parkour challenge</t>
  </si>
  <si>
    <t>Brass music</t>
  </si>
  <si>
    <t>A little work on the midterm presentation</t>
  </si>
  <si>
    <t>Strings puzzle testing</t>
  </si>
  <si>
    <t>Saving and loading</t>
  </si>
  <si>
    <t>More edits with saving and loading</t>
  </si>
  <si>
    <t>Bug fixes and packaging</t>
  </si>
  <si>
    <t>Create interface for the puzzles</t>
  </si>
  <si>
    <t>Work on semester 2 midterm presentation</t>
  </si>
  <si>
    <t>Calculate distance between pegs for vine length</t>
  </si>
  <si>
    <t>Adjust collectables (spin / bounce), edit walk / sprint speed, and began importing character model</t>
  </si>
  <si>
    <t>Strings puzzle</t>
  </si>
  <si>
    <t>User testing, making collection jingle, some asset cleanup</t>
  </si>
  <si>
    <t>Adjust obstacle for parkour</t>
  </si>
  <si>
    <t>Adding teleport area to mountain and work on strings puzzle</t>
  </si>
  <si>
    <t>Bug fixing for packaging</t>
  </si>
  <si>
    <t>Finished some features and bugs for percussion puzzle, worked on building exe for further player testing, added internal test results for caves puzzle</t>
  </si>
  <si>
    <t>Get Strings Puzzle logic working</t>
  </si>
  <si>
    <t>Added simple water collision system for player; waiting to add final touches until finished player model is in</t>
  </si>
  <si>
    <t>Added testing documents and internal test results</t>
  </si>
  <si>
    <t>External playtests</t>
  </si>
  <si>
    <t>Added test results to external testing book</t>
  </si>
  <si>
    <t>Website and Installer</t>
  </si>
  <si>
    <t>Testing UE5 Niagara system, created firefly particles, updated island bp day and night cycle to begin on play and edited some nighttime variables and ColorMechanicPPV for visibility, gathered ambient sounds and added them in game to shoreline / beach / forest / marsh</t>
  </si>
  <si>
    <t>Fade to black when fall of parkour challenge, and add function to puzzle interface</t>
  </si>
  <si>
    <t>Improve visuals of string puzzle</t>
  </si>
  <si>
    <t>Try to fix menus</t>
  </si>
  <si>
    <t>Many small cleanups, add cool floating note effect in central temple</t>
  </si>
  <si>
    <t>Bug fixes and website improvements</t>
  </si>
  <si>
    <t>Some videos for midterm, help Zack with webbed site, allow doors to open only with required number of collected notes</t>
  </si>
  <si>
    <t>Work on presentation</t>
  </si>
  <si>
    <t>Create reset camera view function</t>
  </si>
  <si>
    <t>Add jungle race challenge</t>
  </si>
  <si>
    <t>Create videos for midterm presentation</t>
  </si>
  <si>
    <t>Add island race challenge, write RTM for new challenge types</t>
  </si>
  <si>
    <t>completed rtm testing and added it, and time effort log, to midterm report</t>
  </si>
  <si>
    <t>Midterm practice and presentation</t>
  </si>
  <si>
    <t>Finish Strings puzzle RTM and test Percussion Puzzle RTM</t>
  </si>
  <si>
    <t>Add teleport area and change start of keys puzzle</t>
  </si>
  <si>
    <t>Getting food for meeting</t>
  </si>
  <si>
    <t>Poster Designing</t>
  </si>
  <si>
    <t>Get color to come back to section for strings and keys puzzles</t>
  </si>
  <si>
    <t>Play testing #4</t>
  </si>
  <si>
    <t>Many changes based on play tester feedback</t>
  </si>
  <si>
    <t>Brass Puzzle</t>
  </si>
  <si>
    <t>Working on Strings puzzle getting color and sound effect after game completion</t>
  </si>
  <si>
    <t>Working on strings puzzle code organization</t>
  </si>
  <si>
    <t>Worked on VS errors and player systems documentation. Cooked project for playtesting</t>
  </si>
  <si>
    <t>Fixing input actions for toggle valves, adding interact handling, and added camera view.</t>
  </si>
  <si>
    <t>Playtesting Sessions</t>
  </si>
  <si>
    <t>Add sequence for brass puzzle and in-game map</t>
  </si>
  <si>
    <t>Playtesting 5 (debugging)</t>
  </si>
  <si>
    <t>Playtesting 6</t>
  </si>
  <si>
    <t>Percussion and Cutscene Meeting</t>
  </si>
  <si>
    <t>Implement suggestions from playtesting</t>
  </si>
  <si>
    <t>Playtesting 7</t>
  </si>
  <si>
    <t>Suggestions from playtesting</t>
  </si>
  <si>
    <t>Improve strings puzzle and create completed state for it</t>
  </si>
  <si>
    <t>Playtesting 8</t>
  </si>
  <si>
    <t>Looking into percussion interactions</t>
  </si>
  <si>
    <t>Fixing p4ignore file and a couple small perforce collaboration issues</t>
  </si>
  <si>
    <t>Meeting with Ricardo, worked on percussion puzzle bug fixes and cutscenes</t>
  </si>
  <si>
    <t>More Percussion puzzle bug fixes</t>
  </si>
  <si>
    <t>Meeting with Logan</t>
  </si>
  <si>
    <t>added audio and particle splines + music note animation prototype for cutscene</t>
  </si>
  <si>
    <t>Tweaking audio settings</t>
  </si>
  <si>
    <t>Begin poster and add sound for walking / running</t>
  </si>
  <si>
    <t>Add sound for walking/running</t>
  </si>
  <si>
    <t>Add saving + loading to pause screen, add challenges to save state, redo logic for passage unlocking, opening, closing</t>
  </si>
  <si>
    <t>Added percussion puzzle completion cutscenes, percussion foliage changes, simple controller support, research dynamically presetting the percussion puzzles</t>
  </si>
  <si>
    <t>Added random variation to percussion puzzles, tweaked player water collision box, percussion puzzle bug fixes</t>
  </si>
  <si>
    <t>External player testing</t>
  </si>
  <si>
    <t>Poster work</t>
  </si>
  <si>
    <t>Add buffer to beginning of Brass puzzle. Add requirements for more doors</t>
  </si>
  <si>
    <t>Fix keys puzzle</t>
  </si>
  <si>
    <t>Capstone guest lecture</t>
  </si>
  <si>
    <t>Add brass music</t>
  </si>
  <si>
    <t>Get strings puzzle movement working</t>
  </si>
  <si>
    <t>Cutscene work and foliage changes (fixed floating trees)</t>
  </si>
  <si>
    <t>Get dynamic interact prompts for all interactible actors</t>
  </si>
  <si>
    <t>Worked on the website</t>
  </si>
  <si>
    <t>Fixed Percussion Puzzle bug with Zack</t>
  </si>
  <si>
    <t>Fix some more doors. Try adding keybinds back into settings. Fix brass music area shape</t>
  </si>
  <si>
    <t>Fix menus not populated from json data in packaged game</t>
  </si>
  <si>
    <t>Investigated and familiarized binding functionality to menus</t>
  </si>
  <si>
    <t>Group meeting</t>
  </si>
  <si>
    <t>creating music note particles and door unlock cutscene</t>
  </si>
  <si>
    <t>Fixed strings puzzle blueprint logic error for in editor issues</t>
  </si>
  <si>
    <t>Worked on drums puzzle bug solo and then partially with Logan</t>
  </si>
  <si>
    <t>Failed to fix strings puzzle in packaged game trying many things</t>
  </si>
  <si>
    <t>Optimizing the game</t>
  </si>
  <si>
    <t>Create basic signs and dialogue widgets.</t>
  </si>
  <si>
    <t>Poster design for Innovation day</t>
  </si>
  <si>
    <t>Cutscene work for color changes and package testing</t>
  </si>
  <si>
    <t>Added color cutscenes and programming, worked on start cutscene</t>
  </si>
  <si>
    <t>Add tutorial and game end sequences. Add NPCs with custom dialogue chains.</t>
  </si>
  <si>
    <t>Innovation summit</t>
  </si>
  <si>
    <t>Fix center island bridges and add text to them. Add some NPC models</t>
  </si>
  <si>
    <t>Boat optimization, settings menu changes, add game theme to menus</t>
  </si>
  <si>
    <t>Creating and implementing new character model</t>
  </si>
  <si>
    <t xml:space="preserve"> Fixed strings puzzle in packaged build</t>
  </si>
  <si>
    <t>Worked on VRAM issues with starting area</t>
  </si>
  <si>
    <t>Optimized for hopefully the last time</t>
  </si>
  <si>
    <t>Trying to fix boat and discuss menu and why its broken again with steven</t>
  </si>
  <si>
    <t>Percussion Puzzle Bug fixes and cleanup, internal playtesting</t>
  </si>
  <si>
    <t>update music note particle, created outro cutscene with scrolling credits, updated river audio splines</t>
  </si>
  <si>
    <t>Fix color mechanic</t>
  </si>
  <si>
    <t>Organized BP's mainly the third person character</t>
  </si>
  <si>
    <t>Worked on door interaction</t>
  </si>
  <si>
    <t>Package Game playtesting</t>
  </si>
  <si>
    <t>Add new game button to menu, fix settings screen, decorate castle</t>
  </si>
  <si>
    <t>Update mesh for character model</t>
  </si>
  <si>
    <t>Doors and menus</t>
  </si>
  <si>
    <t>Redo end sequence and add mom and dad characters</t>
  </si>
  <si>
    <t>Cutscene work for tutorials, fixed color sequences, and worked on door cutscenes</t>
  </si>
  <si>
    <t>Fix color stencil</t>
  </si>
  <si>
    <t>Tutorial Cutscene work</t>
  </si>
  <si>
    <t>Many small bug fixes</t>
  </si>
  <si>
    <t>Fixed set vine length issue and collision issue</t>
  </si>
  <si>
    <t>Fixed and implemented tons of small things most notably saving and loading, sensitivity, and passages.</t>
  </si>
  <si>
    <t>Recording and editing trailer</t>
  </si>
  <si>
    <t>Import and Add new character models</t>
  </si>
  <si>
    <t>Attempt to Import queen, princess, and parents</t>
  </si>
  <si>
    <t>Strings puzzle polish</t>
  </si>
  <si>
    <t>Tidy up some stuff with vines puzzle</t>
  </si>
  <si>
    <t>Upload princess, queen, and mom model into world</t>
  </si>
  <si>
    <t>Planning for week and presentation (weekly scrum)</t>
  </si>
  <si>
    <t>Design business cards</t>
  </si>
  <si>
    <t>Bridge cutscene and system work, currently only for castle bridge; drum puzzle mouse bug fix</t>
  </si>
  <si>
    <t>updated bp_passage to fix cutscene playing across all doors and bridges down to only the two percussion forest doors and animation no longer playing for bridges</t>
  </si>
  <si>
    <t>Added rest of bridge cutscenes and bug fixes. Created list of bug fixes for future during multiple internal playthroughs to test the bridges</t>
  </si>
  <si>
    <t>Started bug fix for percussion puzzle text prompt</t>
  </si>
  <si>
    <t>Add game save message and get videos for final presentation</t>
  </si>
  <si>
    <t>Finished percussion puzzle text prompt bug</t>
  </si>
  <si>
    <t>Add mom and dad with dialogue, fix color mechanic for brass marshland, re-place palm trees</t>
  </si>
  <si>
    <t>Bug fixes and adding story dialogue</t>
  </si>
  <si>
    <t>Worked on videos for presentation</t>
  </si>
  <si>
    <t>Taking photos for presentation</t>
  </si>
  <si>
    <t>Record and add background videos to presentation slides, work on presentation</t>
  </si>
  <si>
    <t>Fix screen on hallway poster</t>
  </si>
  <si>
    <t>Record and trim gameplay footage</t>
  </si>
  <si>
    <t>Print, cut, and fold cards for leis</t>
  </si>
  <si>
    <t>Presentation practice</t>
  </si>
  <si>
    <t>Re-recording videos for presentation</t>
  </si>
  <si>
    <t>Capstone presentations</t>
  </si>
  <si>
    <t>Come up with an outline for the final report / package</t>
  </si>
  <si>
    <t>Final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</si>
</sst>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d\-mmm\-yy;@"/>
  </numFmts>
  <fonts count="10">
    <font>
      <sz val="11"/>
      <color theme="1"/>
      <name val="Aptos Narrow"/>
      <family val="2"/>
      <scheme val="minor"/>
    </font>
    <font>
      <sz val="11"/>
      <color theme="1"/>
      <name val="Aptos Narrow"/>
      <scheme val="minor"/>
    </font>
    <font>
      <sz val="11"/>
      <color theme="0"/>
      <name val="Aptos Narrow"/>
      <scheme val="minor"/>
    </font>
    <font>
      <b/>
      <sz val="11"/>
      <color theme="0"/>
      <name val="Aptos Narrow"/>
      <scheme val="minor"/>
    </font>
    <font>
      <b/>
      <sz val="11"/>
      <color rgb="FFFF6B6B"/>
      <name val="Aptos Narrow"/>
      <scheme val="minor"/>
    </font>
    <font>
      <sz val="11"/>
      <color rgb="FFFF0000"/>
      <name val="Aptos Narrow"/>
      <scheme val="minor"/>
    </font>
    <font>
      <sz val="11"/>
      <color rgb="FF000000"/>
      <name val="Aptos Narrow"/>
      <charset val="1"/>
    </font>
    <font>
      <sz val="11"/>
      <color theme="0"/>
      <name val="Aptos Narrow"/>
      <family val="2"/>
      <scheme val="minor"/>
    </font>
    <font>
      <b/>
      <sz val="11"/>
      <color rgb="FFFF0000"/>
      <name val="Aptos Narrow"/>
      <scheme val="minor"/>
    </font>
    <font>
      <i/>
      <sz val="11"/>
      <color rgb="FFFF0000"/>
      <name val="Aptos Narrow"/>
      <scheme val="minor"/>
    </font>
  </fonts>
  <fills count="7">
    <fill>
      <patternFill patternType="none"/>
    </fill>
    <fill>
      <patternFill patternType="gray125"/>
    </fill>
    <fill>
      <patternFill patternType="solid">
        <fgColor theme="1" tint="0.249977111117893"/>
        <bgColor indexed="64"/>
      </patternFill>
    </fill>
    <fill>
      <patternFill patternType="solid">
        <fgColor theme="1"/>
        <bgColor indexed="64"/>
      </patternFill>
    </fill>
    <fill>
      <patternFill patternType="solid">
        <fgColor theme="0"/>
        <bgColor indexed="64"/>
      </patternFill>
    </fill>
    <fill>
      <patternFill patternType="solid">
        <fgColor rgb="FFE8E8E8"/>
        <bgColor indexed="64"/>
      </patternFill>
    </fill>
    <fill>
      <patternFill patternType="solid">
        <fgColor theme="2"/>
        <bgColor indexed="64"/>
      </patternFill>
    </fill>
  </fills>
  <borders count="14">
    <border>
      <left/>
      <right/>
      <top/>
      <bottom/>
      <diagonal/>
    </border>
    <border>
      <left/>
      <right/>
      <top/>
      <bottom style="medium">
        <color rgb="FF000000"/>
      </bottom>
      <diagonal/>
    </border>
    <border>
      <left/>
      <right/>
      <top/>
      <bottom style="thin">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top/>
      <bottom style="thin">
        <color rgb="FF000000"/>
      </bottom>
      <diagonal/>
    </border>
    <border>
      <left/>
      <right style="medium">
        <color rgb="FF000000"/>
      </right>
      <top/>
      <bottom/>
      <diagonal/>
    </border>
    <border>
      <left/>
      <right style="medium">
        <color rgb="FF000000"/>
      </right>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thin">
        <color rgb="FF000000"/>
      </right>
      <top/>
      <bottom/>
      <diagonal/>
    </border>
    <border>
      <left style="thick">
        <color rgb="FF000000"/>
      </left>
      <right/>
      <top/>
      <bottom/>
      <diagonal/>
    </border>
    <border>
      <left/>
      <right/>
      <top style="thin">
        <color rgb="FF000000"/>
      </top>
      <bottom/>
      <diagonal/>
    </border>
  </borders>
  <cellStyleXfs count="1">
    <xf numFmtId="0" fontId="0" fillId="0" borderId="0"/>
  </cellStyleXfs>
  <cellXfs count="86">
    <xf numFmtId="0" fontId="0" fillId="0" borderId="0" xfId="0"/>
    <xf numFmtId="0" fontId="1" fillId="3" borderId="0" xfId="0" applyFont="1" applyFill="1"/>
    <xf numFmtId="0" fontId="2" fillId="3" borderId="4" xfId="0" applyFont="1" applyFill="1" applyBorder="1"/>
    <xf numFmtId="0" fontId="2" fillId="3" borderId="0" xfId="0" applyFont="1" applyFill="1"/>
    <xf numFmtId="0" fontId="2" fillId="3" borderId="6" xfId="0" applyFont="1" applyFill="1" applyBorder="1" applyAlignment="1">
      <alignment horizontal="center"/>
    </xf>
    <xf numFmtId="0" fontId="1" fillId="3" borderId="0" xfId="0" applyFont="1" applyFill="1" applyAlignment="1">
      <alignment horizontal="center"/>
    </xf>
    <xf numFmtId="0" fontId="1" fillId="3" borderId="6" xfId="0" applyFont="1" applyFill="1" applyBorder="1" applyAlignment="1">
      <alignment wrapText="1"/>
    </xf>
    <xf numFmtId="0" fontId="1" fillId="3" borderId="6" xfId="0" applyFont="1" applyFill="1" applyBorder="1"/>
    <xf numFmtId="0" fontId="2" fillId="3" borderId="0" xfId="0" applyFont="1" applyFill="1" applyAlignment="1">
      <alignment horizontal="center"/>
    </xf>
    <xf numFmtId="0" fontId="3" fillId="3" borderId="9" xfId="0" applyFont="1" applyFill="1" applyBorder="1" applyAlignment="1">
      <alignment horizontal="center"/>
    </xf>
    <xf numFmtId="0" fontId="1" fillId="0" borderId="0" xfId="0" applyFont="1"/>
    <xf numFmtId="0" fontId="3" fillId="2" borderId="0" xfId="0" applyFont="1" applyFill="1" applyAlignment="1">
      <alignment horizontal="center"/>
    </xf>
    <xf numFmtId="0" fontId="3" fillId="3" borderId="6" xfId="0" applyFont="1" applyFill="1" applyBorder="1" applyAlignment="1">
      <alignment horizontal="center"/>
    </xf>
    <xf numFmtId="0" fontId="4" fillId="3" borderId="6" xfId="0" applyFont="1" applyFill="1" applyBorder="1" applyAlignment="1">
      <alignment horizontal="center"/>
    </xf>
    <xf numFmtId="0" fontId="1" fillId="3" borderId="8" xfId="0" applyFont="1" applyFill="1" applyBorder="1"/>
    <xf numFmtId="0" fontId="1" fillId="0" borderId="8" xfId="0" applyFont="1" applyBorder="1"/>
    <xf numFmtId="0" fontId="3" fillId="2" borderId="5" xfId="0" applyFont="1" applyFill="1" applyBorder="1" applyAlignment="1">
      <alignment horizontal="center"/>
    </xf>
    <xf numFmtId="0" fontId="3" fillId="2" borderId="2" xfId="0" applyFont="1" applyFill="1" applyBorder="1" applyAlignment="1">
      <alignment horizontal="center"/>
    </xf>
    <xf numFmtId="0" fontId="3" fillId="3" borderId="2" xfId="0" applyFont="1" applyFill="1" applyBorder="1" applyAlignment="1">
      <alignment horizontal="center"/>
    </xf>
    <xf numFmtId="0" fontId="3" fillId="2" borderId="3" xfId="0" applyFont="1" applyFill="1" applyBorder="1" applyAlignment="1">
      <alignment horizontal="center"/>
    </xf>
    <xf numFmtId="0" fontId="3" fillId="2" borderId="7" xfId="0" applyFont="1" applyFill="1" applyBorder="1" applyAlignment="1">
      <alignment horizontal="center" wrapText="1"/>
    </xf>
    <xf numFmtId="0" fontId="3" fillId="3" borderId="7" xfId="0" applyFont="1" applyFill="1" applyBorder="1" applyAlignment="1">
      <alignment horizontal="center"/>
    </xf>
    <xf numFmtId="0" fontId="1" fillId="3" borderId="1" xfId="0" applyFont="1" applyFill="1" applyBorder="1"/>
    <xf numFmtId="0" fontId="1" fillId="0" borderId="1" xfId="0" applyFont="1" applyBorder="1"/>
    <xf numFmtId="15" fontId="2" fillId="2" borderId="4" xfId="0" applyNumberFormat="1" applyFont="1" applyFill="1" applyBorder="1"/>
    <xf numFmtId="15" fontId="2" fillId="2" borderId="0" xfId="0" applyNumberFormat="1" applyFont="1" applyFill="1"/>
    <xf numFmtId="0" fontId="2" fillId="2" borderId="0" xfId="0" applyFont="1" applyFill="1" applyAlignment="1">
      <alignment horizontal="center"/>
    </xf>
    <xf numFmtId="0" fontId="2" fillId="2" borderId="6" xfId="0" applyFont="1" applyFill="1" applyBorder="1" applyAlignment="1">
      <alignment horizontal="center"/>
    </xf>
    <xf numFmtId="15" fontId="1" fillId="0" borderId="0" xfId="0" applyNumberFormat="1" applyFont="1" applyAlignment="1">
      <alignment horizontal="center"/>
    </xf>
    <xf numFmtId="0" fontId="1" fillId="0" borderId="0" xfId="0" applyFont="1" applyAlignment="1">
      <alignment horizontal="center"/>
    </xf>
    <xf numFmtId="0" fontId="1" fillId="0" borderId="6" xfId="0" applyFont="1" applyBorder="1" applyAlignment="1">
      <alignment wrapText="1"/>
    </xf>
    <xf numFmtId="0" fontId="3" fillId="2" borderId="6" xfId="0" applyFont="1" applyFill="1" applyBorder="1" applyAlignment="1">
      <alignment horizontal="center"/>
    </xf>
    <xf numFmtId="14" fontId="2" fillId="2" borderId="6" xfId="0" applyNumberFormat="1" applyFont="1" applyFill="1" applyBorder="1" applyAlignment="1">
      <alignment horizontal="center"/>
    </xf>
    <xf numFmtId="0" fontId="2" fillId="2" borderId="7" xfId="0" applyFont="1" applyFill="1" applyBorder="1" applyAlignment="1">
      <alignment horizontal="center"/>
    </xf>
    <xf numFmtId="15" fontId="1" fillId="0" borderId="2" xfId="0" applyNumberFormat="1" applyFont="1" applyBorder="1" applyAlignment="1">
      <alignment horizontal="center"/>
    </xf>
    <xf numFmtId="0" fontId="1" fillId="0" borderId="2" xfId="0" applyFont="1" applyBorder="1" applyAlignment="1">
      <alignment horizontal="center"/>
    </xf>
    <xf numFmtId="0" fontId="1" fillId="0" borderId="7" xfId="0" applyFont="1" applyBorder="1" applyAlignment="1">
      <alignment wrapText="1"/>
    </xf>
    <xf numFmtId="0" fontId="3" fillId="2" borderId="13" xfId="0" applyFont="1" applyFill="1" applyBorder="1" applyAlignment="1">
      <alignment horizontal="center"/>
    </xf>
    <xf numFmtId="0" fontId="2" fillId="2" borderId="4" xfId="0" applyFont="1" applyFill="1" applyBorder="1" applyAlignment="1">
      <alignment horizontal="center"/>
    </xf>
    <xf numFmtId="2" fontId="2" fillId="2" borderId="6" xfId="0" applyNumberFormat="1" applyFont="1" applyFill="1" applyBorder="1" applyAlignment="1">
      <alignment horizontal="center"/>
    </xf>
    <xf numFmtId="0" fontId="2" fillId="2" borderId="12" xfId="0" applyFont="1" applyFill="1" applyBorder="1" applyAlignment="1">
      <alignment horizontal="center" wrapText="1"/>
    </xf>
    <xf numFmtId="0" fontId="2" fillId="0" borderId="0" xfId="0" applyFont="1" applyAlignment="1">
      <alignment horizontal="center"/>
    </xf>
    <xf numFmtId="0" fontId="2" fillId="0" borderId="6" xfId="0" applyFont="1" applyBorder="1" applyAlignment="1">
      <alignment horizontal="center"/>
    </xf>
    <xf numFmtId="0" fontId="5" fillId="0" borderId="0" xfId="0" applyFont="1" applyAlignment="1">
      <alignment horizontal="center"/>
    </xf>
    <xf numFmtId="15" fontId="2" fillId="2" borderId="3" xfId="0" applyNumberFormat="1" applyFont="1" applyFill="1" applyBorder="1"/>
    <xf numFmtId="15" fontId="2" fillId="2" borderId="1" xfId="0" applyNumberFormat="1" applyFont="1" applyFill="1" applyBorder="1"/>
    <xf numFmtId="0" fontId="2" fillId="2" borderId="1" xfId="0" applyFont="1" applyFill="1" applyBorder="1" applyAlignment="1">
      <alignment horizontal="center"/>
    </xf>
    <xf numFmtId="0" fontId="2" fillId="0" borderId="4" xfId="0" applyFont="1" applyBorder="1"/>
    <xf numFmtId="0" fontId="2" fillId="0" borderId="0" xfId="0" applyFont="1"/>
    <xf numFmtId="15" fontId="1" fillId="0" borderId="4" xfId="0" applyNumberFormat="1" applyFont="1" applyBorder="1" applyAlignment="1">
      <alignment horizontal="center"/>
    </xf>
    <xf numFmtId="15" fontId="1" fillId="4" borderId="4" xfId="0" applyNumberFormat="1" applyFont="1" applyFill="1" applyBorder="1" applyAlignment="1">
      <alignment horizontal="center"/>
    </xf>
    <xf numFmtId="0" fontId="1" fillId="4" borderId="0" xfId="0" applyFont="1" applyFill="1" applyAlignment="1">
      <alignment horizontal="center"/>
    </xf>
    <xf numFmtId="0" fontId="1" fillId="4" borderId="6" xfId="0" applyFont="1" applyFill="1" applyBorder="1" applyAlignment="1">
      <alignment wrapText="1"/>
    </xf>
    <xf numFmtId="0" fontId="1" fillId="5" borderId="0" xfId="0" applyFont="1" applyFill="1" applyAlignment="1">
      <alignment wrapText="1"/>
    </xf>
    <xf numFmtId="0" fontId="1" fillId="0" borderId="2" xfId="0" applyFont="1" applyBorder="1" applyAlignment="1">
      <alignment wrapText="1"/>
    </xf>
    <xf numFmtId="0" fontId="1" fillId="0" borderId="11" xfId="0" applyFont="1" applyBorder="1" applyAlignment="1">
      <alignment wrapText="1"/>
    </xf>
    <xf numFmtId="0" fontId="1" fillId="0" borderId="0" xfId="0" applyFont="1" applyAlignment="1">
      <alignment wrapText="1"/>
    </xf>
    <xf numFmtId="14" fontId="1" fillId="0" borderId="0" xfId="0" applyNumberFormat="1" applyFont="1" applyAlignment="1">
      <alignment horizontal="center"/>
    </xf>
    <xf numFmtId="0" fontId="1" fillId="0" borderId="0" xfId="0" applyFont="1" applyAlignment="1">
      <alignment horizontal="left"/>
    </xf>
    <xf numFmtId="0" fontId="6" fillId="0" borderId="0" xfId="0" applyFont="1"/>
    <xf numFmtId="0" fontId="6" fillId="0" borderId="2" xfId="0" applyFont="1" applyBorder="1"/>
    <xf numFmtId="0" fontId="0" fillId="0" borderId="6" xfId="0" applyBorder="1" applyAlignment="1">
      <alignment wrapText="1"/>
    </xf>
    <xf numFmtId="0" fontId="7" fillId="2" borderId="6" xfId="0" applyFont="1" applyFill="1" applyBorder="1" applyAlignment="1">
      <alignment horizontal="center"/>
    </xf>
    <xf numFmtId="15" fontId="0" fillId="0" borderId="0" xfId="0" applyNumberForma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0" fontId="2" fillId="2" borderId="2" xfId="0" applyFont="1" applyFill="1" applyBorder="1" applyAlignment="1">
      <alignment horizontal="center"/>
    </xf>
    <xf numFmtId="14" fontId="6" fillId="0" borderId="0" xfId="0" applyNumberFormat="1" applyFont="1"/>
    <xf numFmtId="0" fontId="5" fillId="6" borderId="0" xfId="0" applyFont="1" applyFill="1" applyAlignment="1">
      <alignment horizontal="center"/>
    </xf>
    <xf numFmtId="0" fontId="5" fillId="0" borderId="6" xfId="0" applyFont="1" applyBorder="1" applyAlignment="1">
      <alignment horizontal="center"/>
    </xf>
    <xf numFmtId="0" fontId="8" fillId="0" borderId="0" xfId="0" applyFont="1" applyAlignment="1">
      <alignment horizontal="center"/>
    </xf>
    <xf numFmtId="0" fontId="9" fillId="0" borderId="0" xfId="0" applyFont="1" applyAlignment="1">
      <alignment horizontal="center"/>
    </xf>
    <xf numFmtId="0" fontId="5" fillId="0" borderId="0" xfId="0" applyFont="1" applyAlignment="1">
      <alignment horizontal="left"/>
    </xf>
    <xf numFmtId="0" fontId="2" fillId="2" borderId="0" xfId="0" applyFont="1" applyFill="1" applyAlignment="1">
      <alignment horizontal="center"/>
    </xf>
    <xf numFmtId="0" fontId="2" fillId="2" borderId="6" xfId="0" applyFont="1" applyFill="1" applyBorder="1" applyAlignment="1">
      <alignment horizontal="center"/>
    </xf>
    <xf numFmtId="0" fontId="3" fillId="2" borderId="10" xfId="0" applyFont="1" applyFill="1" applyBorder="1" applyAlignment="1">
      <alignment horizontal="center"/>
    </xf>
    <xf numFmtId="0" fontId="3" fillId="2" borderId="8" xfId="0" applyFont="1" applyFill="1" applyBorder="1" applyAlignment="1">
      <alignment horizontal="center"/>
    </xf>
    <xf numFmtId="0" fontId="3" fillId="2" borderId="4" xfId="0" applyFont="1" applyFill="1" applyBorder="1" applyAlignment="1">
      <alignment horizontal="center"/>
    </xf>
    <xf numFmtId="0" fontId="3" fillId="2" borderId="0" xfId="0" applyFont="1" applyFill="1" applyAlignment="1">
      <alignment horizontal="center"/>
    </xf>
    <xf numFmtId="0" fontId="3" fillId="2" borderId="2" xfId="0" applyFont="1" applyFill="1" applyBorder="1" applyAlignment="1">
      <alignment horizontal="center"/>
    </xf>
    <xf numFmtId="0" fontId="3" fillId="2" borderId="7" xfId="0" applyFont="1" applyFill="1" applyBorder="1" applyAlignment="1">
      <alignment horizontal="center"/>
    </xf>
    <xf numFmtId="0" fontId="4" fillId="2" borderId="4" xfId="0" applyFont="1" applyFill="1" applyBorder="1" applyAlignment="1">
      <alignment horizontal="center"/>
    </xf>
    <xf numFmtId="0" fontId="4" fillId="2" borderId="0" xfId="0" applyFont="1" applyFill="1" applyAlignment="1">
      <alignment horizontal="center"/>
    </xf>
    <xf numFmtId="0" fontId="4" fillId="2" borderId="6" xfId="0" applyFont="1" applyFill="1" applyBorder="1" applyAlignment="1">
      <alignment horizontal="center"/>
    </xf>
    <xf numFmtId="0" fontId="3" fillId="2" borderId="9" xfId="0" applyFont="1" applyFill="1" applyBorder="1" applyAlignment="1">
      <alignment horizontal="center"/>
    </xf>
    <xf numFmtId="0" fontId="3" fillId="2" borderId="5" xfId="0" applyFont="1" applyFill="1" applyBorder="1" applyAlignment="1">
      <alignment horizontal="center"/>
    </xf>
  </cellXfs>
  <cellStyles count="1">
    <cellStyle name="Normal" xfId="0" builtinId="0"/>
  </cellStyles>
  <dxfs count="712">
    <dxf>
      <border>
        <bottom style="thin">
          <color rgb="FF000000"/>
        </bottom>
      </border>
    </dxf>
    <dxf>
      <border>
        <bottom style="thin">
          <color rgb="FF000000"/>
        </bottom>
      </border>
    </dxf>
    <dxf>
      <fill>
        <patternFill patternType="solid">
          <bgColor theme="0"/>
        </patternFill>
      </fill>
    </dxf>
    <dxf>
      <fill>
        <patternFill patternType="solid">
          <bgColor theme="2"/>
        </patternFill>
      </fill>
    </dxf>
    <dxf>
      <border>
        <bottom style="thin">
          <color rgb="FF000000"/>
        </bottom>
      </border>
    </dxf>
    <dxf>
      <border>
        <bottom style="thin">
          <color rgb="FF000000"/>
        </bottom>
      </border>
    </dxf>
    <dxf>
      <fill>
        <patternFill patternType="solid">
          <bgColor theme="2"/>
        </patternFill>
      </fill>
    </dxf>
    <dxf>
      <fill>
        <patternFill patternType="solid">
          <bgColor theme="2"/>
        </patternFill>
      </fill>
    </dxf>
    <dxf>
      <fill>
        <patternFill patternType="solid">
          <bgColor theme="0"/>
        </patternFill>
      </fill>
    </dxf>
    <dxf>
      <border>
        <bottom style="thin">
          <color rgb="FF000000"/>
        </bottom>
      </border>
    </dxf>
    <dxf>
      <fill>
        <patternFill patternType="solid">
          <bgColor theme="0"/>
        </patternFill>
      </fill>
    </dxf>
    <dxf>
      <fill>
        <patternFill patternType="solid">
          <bgColor theme="2"/>
        </patternFill>
      </fill>
    </dxf>
    <dxf>
      <border>
        <bottom style="thin">
          <color rgb="FF000000"/>
        </bottom>
      </border>
    </dxf>
    <dxf>
      <fill>
        <patternFill patternType="solid">
          <bgColor theme="2"/>
        </patternFill>
      </fill>
    </dxf>
    <dxf>
      <fill>
        <patternFill patternType="solid">
          <bgColor theme="0"/>
        </patternFill>
      </fill>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border>
        <bottom style="thin">
          <color rgb="FF000000"/>
        </bottom>
      </border>
    </dxf>
    <dxf>
      <font>
        <color theme="0"/>
      </font>
      <fill>
        <patternFill patternType="solid">
          <bgColor theme="1" tint="0.34998626667073579"/>
        </patternFill>
      </fill>
    </dxf>
  </dxfs>
  <tableStyles count="0" defaultTableStyle="TableStyleMedium2" defaultPivotStyle="PivotStyleMedium9"/>
  <colors>
    <mruColors>
      <color rgb="FFE8E8E8"/>
      <color rgb="FFFF6B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Zipf's Law in Recorded Tasks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Sheet1!$R$54</c:f>
              <c:strCache>
                <c:ptCount val="1"/>
                <c:pt idx="0">
                  <c:v>DF</c:v>
                </c:pt>
              </c:strCache>
            </c:strRef>
          </c:tx>
          <c:spPr>
            <a:ln w="28575" cap="rnd">
              <a:solidFill>
                <a:schemeClr val="accent1"/>
              </a:solidFill>
              <a:round/>
            </a:ln>
            <a:effectLst/>
          </c:spPr>
          <c:marker>
            <c:symbol val="none"/>
          </c:marker>
          <c:cat>
            <c:strRef>
              <c:f>Sheet1!$Q$55:$Q$977</c:f>
              <c:strCache>
                <c:ptCount val="923"/>
                <c:pt idx="0">
                  <c:v>**</c:v>
                </c:pt>
                <c:pt idx="1">
                  <c:v>*i*</c:v>
                </c:pt>
                <c:pt idx="2">
                  <c:v>*a*</c:v>
                </c:pt>
                <c:pt idx="3">
                  <c:v>*in*</c:v>
                </c:pt>
                <c:pt idx="4">
                  <c:v>*on*</c:v>
                </c:pt>
                <c:pt idx="5">
                  <c:v>*an*</c:v>
                </c:pt>
                <c:pt idx="6">
                  <c:v>*me*</c:v>
                </c:pt>
                <c:pt idx="7">
                  <c:v>*and*</c:v>
                </c:pt>
                <c:pt idx="8">
                  <c:v>*scrum*</c:v>
                </c:pt>
                <c:pt idx="9">
                  <c:v>*week*</c:v>
                </c:pt>
                <c:pt idx="10">
                  <c:v>*presenta*</c:v>
                </c:pt>
                <c:pt idx="11">
                  <c:v>*b*</c:v>
                </c:pt>
                <c:pt idx="12">
                  <c:v>*for*</c:v>
                </c:pt>
                <c:pt idx="13">
                  <c:v>*to*</c:v>
                </c:pt>
                <c:pt idx="14">
                  <c:v>*work*</c:v>
                </c:pt>
                <c:pt idx="15">
                  <c:v>*print*</c:v>
                </c:pt>
                <c:pt idx="16">
                  <c:v>*plan*</c:v>
                </c:pt>
                <c:pt idx="17">
                  <c:v>*plann*</c:v>
                </c:pt>
                <c:pt idx="18">
                  <c:v>*puzzle*</c:v>
                </c:pt>
                <c:pt idx="19">
                  <c:v>*sprint*</c:v>
                </c:pt>
                <c:pt idx="20">
                  <c:v>*meet*</c:v>
                </c:pt>
                <c:pt idx="21">
                  <c:v>*it*</c:v>
                </c:pt>
                <c:pt idx="22">
                  <c:v>*add*</c:v>
                </c:pt>
                <c:pt idx="23">
                  <c:v>*fix*</c:v>
                </c:pt>
                <c:pt idx="24">
                  <c:v>*as*</c:v>
                </c:pt>
                <c:pt idx="25">
                  <c:v>*is*</c:v>
                </c:pt>
                <c:pt idx="26">
                  <c:v>*up*</c:v>
                </c:pt>
                <c:pt idx="27">
                  <c:v>*game*</c:v>
                </c:pt>
                <c:pt idx="28">
                  <c:v>*set*</c:v>
                </c:pt>
                <c:pt idx="29">
                  <c:v>*pract*</c:v>
                </c:pt>
                <c:pt idx="30">
                  <c:v>*practic*</c:v>
                </c:pt>
                <c:pt idx="31">
                  <c:v>*with*</c:v>
                </c:pt>
                <c:pt idx="32">
                  <c:v>*practice*</c:v>
                </c:pt>
                <c:pt idx="33">
                  <c:v>*cre*</c:v>
                </c:pt>
                <c:pt idx="34">
                  <c:v>*final*</c:v>
                </c:pt>
                <c:pt idx="35">
                  <c:v>*midterm*</c:v>
                </c:pt>
                <c:pt idx="36">
                  <c:v>*percussion*</c:v>
                </c:pt>
                <c:pt idx="37">
                  <c:v>*play*</c:v>
                </c:pt>
                <c:pt idx="38">
                  <c:v>*log*</c:v>
                </c:pt>
                <c:pt idx="39">
                  <c:v>*test*</c:v>
                </c:pt>
                <c:pt idx="40">
                  <c:v>*color*</c:v>
                </c:pt>
                <c:pt idx="41">
                  <c:v>*creat*</c:v>
                </c:pt>
                <c:pt idx="42">
                  <c:v>*crea*</c:v>
                </c:pt>
                <c:pt idx="43">
                  <c:v>*por*</c:v>
                </c:pt>
                <c:pt idx="44">
                  <c:v>*the*</c:v>
                </c:pt>
                <c:pt idx="45">
                  <c:v>*mechanic*</c:v>
                </c:pt>
                <c:pt idx="46">
                  <c:v>*ue*</c:v>
                </c:pt>
                <c:pt idx="47">
                  <c:v>*bug*</c:v>
                </c:pt>
                <c:pt idx="48">
                  <c:v>*string*</c:v>
                </c:pt>
                <c:pt idx="49">
                  <c:v>*all*</c:v>
                </c:pt>
                <c:pt idx="50">
                  <c:v>*project*</c:v>
                </c:pt>
                <c:pt idx="51">
                  <c:v>*prep*</c:v>
                </c:pt>
                <c:pt idx="52">
                  <c:v>*client*</c:v>
                </c:pt>
                <c:pt idx="53">
                  <c:v>*added*</c:v>
                </c:pt>
                <c:pt idx="54">
                  <c:v>*music*</c:v>
                </c:pt>
                <c:pt idx="55">
                  <c:v>*no*</c:v>
                </c:pt>
                <c:pt idx="56">
                  <c:v>*idea*</c:v>
                </c:pt>
                <c:pt idx="57">
                  <c:v>*menu*</c:v>
                </c:pt>
                <c:pt idx="58">
                  <c:v>*one*</c:v>
                </c:pt>
                <c:pt idx="59">
                  <c:v>*design*</c:v>
                </c:pt>
                <c:pt idx="60">
                  <c:v>*lecture*</c:v>
                </c:pt>
                <c:pt idx="61">
                  <c:v>*ui*</c:v>
                </c:pt>
                <c:pt idx="62">
                  <c:v>*perforce*</c:v>
                </c:pt>
                <c:pt idx="63">
                  <c:v>*worked*</c:v>
                </c:pt>
                <c:pt idx="64">
                  <c:v>*con*</c:v>
                </c:pt>
                <c:pt idx="65">
                  <c:v>*get*</c:v>
                </c:pt>
                <c:pt idx="66">
                  <c:v>*strings*</c:v>
                </c:pt>
                <c:pt idx="67">
                  <c:v>*key*</c:v>
                </c:pt>
                <c:pt idx="68">
                  <c:v>*document*</c:v>
                </c:pt>
                <c:pt idx="69">
                  <c:v>*create*</c:v>
                </c:pt>
                <c:pt idx="70">
                  <c:v>*art*</c:v>
                </c:pt>
                <c:pt idx="71">
                  <c:v>*cutscene*</c:v>
                </c:pt>
                <c:pt idx="72">
                  <c:v>*vine*</c:v>
                </c:pt>
                <c:pt idx="73">
                  <c:v>*stone*</c:v>
                </c:pt>
                <c:pt idx="74">
                  <c:v>*report*</c:v>
                </c:pt>
                <c:pt idx="75">
                  <c:v>*capstone*</c:v>
                </c:pt>
                <c:pt idx="76">
                  <c:v>*proposal*</c:v>
                </c:pt>
                <c:pt idx="77">
                  <c:v>*brass*</c:v>
                </c:pt>
                <c:pt idx="78">
                  <c:v>*door*</c:v>
                </c:pt>
                <c:pt idx="79">
                  <c:v>*of*</c:v>
                </c:pt>
                <c:pt idx="80">
                  <c:v>*ideas*</c:v>
                </c:pt>
                <c:pt idx="81">
                  <c:v>*keys*</c:v>
                </c:pt>
                <c:pt idx="82">
                  <c:v>*fixed*</c:v>
                </c:pt>
                <c:pt idx="83">
                  <c:v>*out*</c:v>
                </c:pt>
                <c:pt idx="84">
                  <c:v>*finish*</c:v>
                </c:pt>
                <c:pt idx="85">
                  <c:v>*sett*</c:v>
                </c:pt>
                <c:pt idx="86">
                  <c:v>*+*</c:v>
                </c:pt>
                <c:pt idx="87">
                  <c:v>*not*</c:v>
                </c:pt>
                <c:pt idx="88">
                  <c:v>*asset*</c:v>
                </c:pt>
                <c:pt idx="89">
                  <c:v>*playtest*</c:v>
                </c:pt>
                <c:pt idx="90">
                  <c:v>*research*</c:v>
                </c:pt>
                <c:pt idx="91">
                  <c:v>*some*</c:v>
                </c:pt>
                <c:pt idx="92">
                  <c:v>*new*</c:v>
                </c:pt>
                <c:pt idx="93">
                  <c:v>*mode*</c:v>
                </c:pt>
                <c:pt idx="94">
                  <c:v>*back*</c:v>
                </c:pt>
                <c:pt idx="95">
                  <c:v>*fixes*</c:v>
                </c:pt>
                <c:pt idx="96">
                  <c:v>*chang*</c:v>
                </c:pt>
                <c:pt idx="97">
                  <c:v>*unreal*</c:v>
                </c:pt>
                <c:pt idx="98">
                  <c:v>*world*</c:v>
                </c:pt>
                <c:pt idx="99">
                  <c:v>*video*</c:v>
                </c:pt>
                <c:pt idx="100">
                  <c:v>*doors*</c:v>
                </c:pt>
                <c:pt idx="101">
                  <c:v>*change*</c:v>
                </c:pt>
                <c:pt idx="102">
                  <c:v>*day*</c:v>
                </c:pt>
                <c:pt idx="103">
                  <c:v>*area*</c:v>
                </c:pt>
                <c:pt idx="104">
                  <c:v>*1*</c:v>
                </c:pt>
                <c:pt idx="105">
                  <c:v>*player*</c:v>
                </c:pt>
                <c:pt idx="106">
                  <c:v>*time*</c:v>
                </c:pt>
                <c:pt idx="107">
                  <c:v>*system*</c:v>
                </c:pt>
                <c:pt idx="108">
                  <c:v>*interac*</c:v>
                </c:pt>
                <c:pt idx="109">
                  <c:v>*model*</c:v>
                </c:pt>
                <c:pt idx="110">
                  <c:v>*win*</c:v>
                </c:pt>
                <c:pt idx="111">
                  <c:v>*camera*</c:v>
                </c:pt>
                <c:pt idx="112">
                  <c:v>*interact*</c:v>
                </c:pt>
                <c:pt idx="113">
                  <c:v>*pick*</c:v>
                </c:pt>
                <c:pt idx="114">
                  <c:v>*note*</c:v>
                </c:pt>
                <c:pt idx="115">
                  <c:v>*peg*</c:v>
                </c:pt>
                <c:pt idx="116">
                  <c:v>*packag*</c:v>
                </c:pt>
                <c:pt idx="117">
                  <c:v>*logo*</c:v>
                </c:pt>
                <c:pt idx="118">
                  <c:v>*jungle*</c:v>
                </c:pt>
                <c:pt idx="119">
                  <c:v>*start*</c:v>
                </c:pt>
                <c:pt idx="120">
                  <c:v>*try*</c:v>
                </c:pt>
                <c:pt idx="121">
                  <c:v>*edit*</c:v>
                </c:pt>
                <c:pt idx="122">
                  <c:v>*documenta*</c:v>
                </c:pt>
                <c:pt idx="123">
                  <c:v>*sound*</c:v>
                </c:pt>
                <c:pt idx="124">
                  <c:v>*more*</c:v>
                </c:pt>
                <c:pt idx="125">
                  <c:v>*rest*</c:v>
                </c:pt>
                <c:pt idx="126">
                  <c:v>*mak*</c:v>
                </c:pt>
                <c:pt idx="127">
                  <c:v>*assets*</c:v>
                </c:pt>
                <c:pt idx="128">
                  <c:v>*into*</c:v>
                </c:pt>
                <c:pt idx="129">
                  <c:v>*button*</c:v>
                </c:pt>
                <c:pt idx="130">
                  <c:v>*communicat*</c:v>
                </c:pt>
                <c:pt idx="131">
                  <c:v>*logic*</c:v>
                </c:pt>
                <c:pt idx="132">
                  <c:v>*post*</c:v>
                </c:pt>
                <c:pt idx="133">
                  <c:v>*menus*</c:v>
                </c:pt>
                <c:pt idx="134">
                  <c:v>*clean*</c:v>
                </c:pt>
                <c:pt idx="135">
                  <c:v>*communica*</c:v>
                </c:pt>
                <c:pt idx="136">
                  <c:v>*use*</c:v>
                </c:pt>
                <c:pt idx="137">
                  <c:v>*slid*</c:v>
                </c:pt>
                <c:pt idx="138">
                  <c:v>*pegs*</c:v>
                </c:pt>
                <c:pt idx="139">
                  <c:v>*challenge*</c:v>
                </c:pt>
                <c:pt idx="140">
                  <c:v>*implement*</c:v>
                </c:pt>
                <c:pt idx="141">
                  <c:v>*tree*</c:v>
                </c:pt>
                <c:pt idx="142">
                  <c:v>*screen*</c:v>
                </c:pt>
                <c:pt idx="143">
                  <c:v>*gett*</c:v>
                </c:pt>
                <c:pt idx="144">
                  <c:v>*crystal*</c:v>
                </c:pt>
                <c:pt idx="145">
                  <c:v>*videos*</c:v>
                </c:pt>
                <c:pt idx="146">
                  <c:v>*load*</c:v>
                </c:pt>
                <c:pt idx="147">
                  <c:v>*error*</c:v>
                </c:pt>
                <c:pt idx="148">
                  <c:v>*character*</c:v>
                </c:pt>
                <c:pt idx="149">
                  <c:v>*first*</c:v>
                </c:pt>
                <c:pt idx="150">
                  <c:v>*updat*</c:v>
                </c:pt>
                <c:pt idx="151">
                  <c:v>*changes*</c:v>
                </c:pt>
                <c:pt idx="152">
                  <c:v>*vines*</c:v>
                </c:pt>
                <c:pt idx="153">
                  <c:v>*block*</c:v>
                </c:pt>
                <c:pt idx="154">
                  <c:v>*river*</c:v>
                </c:pt>
                <c:pt idx="155">
                  <c:v>*session*</c:v>
                </c:pt>
                <c:pt idx="156">
                  <c:v>*upd*</c:v>
                </c:pt>
                <c:pt idx="157">
                  <c:v>*plac*</c:v>
                </c:pt>
                <c:pt idx="158">
                  <c:v>*comple*</c:v>
                </c:pt>
                <c:pt idx="159">
                  <c:v>*innova*</c:v>
                </c:pt>
                <c:pt idx="160">
                  <c:v>*poster*</c:v>
                </c:pt>
                <c:pt idx="161">
                  <c:v>*bridge*</c:v>
                </c:pt>
                <c:pt idx="162">
                  <c:v>*setup*</c:v>
                </c:pt>
                <c:pt idx="163">
                  <c:v>*control*</c:v>
                </c:pt>
                <c:pt idx="164">
                  <c:v>*island*</c:v>
                </c:pt>
                <c:pt idx="165">
                  <c:v>*team*</c:v>
                </c:pt>
                <c:pt idx="166">
                  <c:v>*make*</c:v>
                </c:pt>
                <c:pt idx="167">
                  <c:v>*import*</c:v>
                </c:pt>
                <c:pt idx="168">
                  <c:v>*collect*</c:v>
                </c:pt>
                <c:pt idx="169">
                  <c:v>*organiz*</c:v>
                </c:pt>
                <c:pt idx="170">
                  <c:v>*parti*</c:v>
                </c:pt>
                <c:pt idx="171">
                  <c:v>*cave*</c:v>
                </c:pt>
                <c:pt idx="172">
                  <c:v>*bridges*</c:v>
                </c:pt>
                <c:pt idx="173">
                  <c:v>*learn*</c:v>
                </c:pt>
                <c:pt idx="174">
                  <c:v>*mechanics*</c:v>
                </c:pt>
                <c:pt idx="175">
                  <c:v>*place*</c:v>
                </c:pt>
                <c:pt idx="176">
                  <c:v>*from*</c:v>
                </c:pt>
                <c:pt idx="177">
                  <c:v>*landscap*</c:v>
                </c:pt>
                <c:pt idx="178">
                  <c:v>*coach*</c:v>
                </c:pt>
                <c:pt idx="179">
                  <c:v>*any*</c:v>
                </c:pt>
                <c:pt idx="180">
                  <c:v>*drop*</c:v>
                </c:pt>
                <c:pt idx="181">
                  <c:v>*feedback*</c:v>
                </c:pt>
                <c:pt idx="182">
                  <c:v>*collec*</c:v>
                </c:pt>
                <c:pt idx="183">
                  <c:v>*package*</c:v>
                </c:pt>
                <c:pt idx="184">
                  <c:v>*update*</c:v>
                </c:pt>
                <c:pt idx="185">
                  <c:v>*organ*</c:v>
                </c:pt>
                <c:pt idx="186">
                  <c:v>*tak*</c:v>
                </c:pt>
                <c:pt idx="187">
                  <c:v>*photos*</c:v>
                </c:pt>
                <c:pt idx="188">
                  <c:v>*selec*</c:v>
                </c:pt>
                <c:pt idx="189">
                  <c:v>*policy*</c:v>
                </c:pt>
                <c:pt idx="190">
                  <c:v>*logistics*</c:v>
                </c:pt>
                <c:pt idx="191">
                  <c:v>*story*</c:v>
                </c:pt>
                <c:pt idx="192">
                  <c:v>*issue*</c:v>
                </c:pt>
                <c:pt idx="193">
                  <c:v>*help*</c:v>
                </c:pt>
                <c:pt idx="194">
                  <c:v>*landscape*</c:v>
                </c:pt>
                <c:pt idx="195">
                  <c:v>*foliage*</c:v>
                </c:pt>
                <c:pt idx="196">
                  <c:v>*cod*</c:v>
                </c:pt>
                <c:pt idx="197">
                  <c:v>*rivers*</c:v>
                </c:pt>
                <c:pt idx="198">
                  <c:v>*sharepoint*</c:v>
                </c:pt>
                <c:pt idx="199">
                  <c:v>*blueprint*</c:v>
                </c:pt>
                <c:pt idx="200">
                  <c:v>*trees*</c:v>
                </c:pt>
                <c:pt idx="201">
                  <c:v>*many*</c:v>
                </c:pt>
                <c:pt idx="202">
                  <c:v>*put*</c:v>
                </c:pt>
                <c:pt idx="203">
                  <c:v>*record*</c:v>
                </c:pt>
                <c:pt idx="204">
                  <c:v>*file*</c:v>
                </c:pt>
                <c:pt idx="205">
                  <c:v>*main*</c:v>
                </c:pt>
                <c:pt idx="206">
                  <c:v>*anima*</c:v>
                </c:pt>
                <c:pt idx="207">
                  <c:v>*forest*</c:v>
                </c:pt>
                <c:pt idx="208">
                  <c:v>*castle*</c:v>
                </c:pt>
                <c:pt idx="209">
                  <c:v>*move*</c:v>
                </c:pt>
                <c:pt idx="210">
                  <c:v>*cleanup*</c:v>
                </c:pt>
                <c:pt idx="211">
                  <c:v>*sequence*</c:v>
                </c:pt>
                <c:pt idx="212">
                  <c:v>*emma*</c:v>
                </c:pt>
                <c:pt idx="213">
                  <c:v>*finished*</c:v>
                </c:pt>
                <c:pt idx="214">
                  <c:v>*low*</c:v>
                </c:pt>
                <c:pt idx="215">
                  <c:v>*dialog*</c:v>
                </c:pt>
                <c:pt idx="216">
                  <c:v>*text*</c:v>
                </c:pt>
                <c:pt idx="217">
                  <c:v>*analysis*</c:v>
                </c:pt>
                <c:pt idx="218">
                  <c:v>*rtm*</c:v>
                </c:pt>
                <c:pt idx="219">
                  <c:v>*sav*</c:v>
                </c:pt>
                <c:pt idx="220">
                  <c:v>*marsh*</c:v>
                </c:pt>
                <c:pt idx="221">
                  <c:v>*view*</c:v>
                </c:pt>
                <c:pt idx="222">
                  <c:v>*cutscenes*</c:v>
                </c:pt>
                <c:pt idx="223">
                  <c:v>*summit*</c:v>
                </c:pt>
                <c:pt idx="224">
                  <c:v>*course*</c:v>
                </c:pt>
                <c:pt idx="225">
                  <c:v>*kickoff*</c:v>
                </c:pt>
                <c:pt idx="226">
                  <c:v>*initial*</c:v>
                </c:pt>
                <c:pt idx="227">
                  <c:v>*concept*</c:v>
                </c:pt>
                <c:pt idx="228">
                  <c:v>*members*</c:v>
                </c:pt>
                <c:pt idx="229">
                  <c:v>*material*</c:v>
                </c:pt>
                <c:pt idx="230">
                  <c:v>*errors*</c:v>
                </c:pt>
                <c:pt idx="231">
                  <c:v>*marshland*</c:v>
                </c:pt>
                <c:pt idx="232">
                  <c:v>*about*</c:v>
                </c:pt>
                <c:pt idx="233">
                  <c:v>*tutorial*</c:v>
                </c:pt>
                <c:pt idx="234">
                  <c:v>*woodwind*</c:v>
                </c:pt>
                <c:pt idx="235">
                  <c:v>*begin*</c:v>
                </c:pt>
                <c:pt idx="236">
                  <c:v>*passage*</c:v>
                </c:pt>
                <c:pt idx="237">
                  <c:v>*attempt*</c:v>
                </c:pt>
                <c:pt idx="238">
                  <c:v>*logan*</c:v>
                </c:pt>
                <c:pt idx="239">
                  <c:v>*redo*</c:v>
                </c:pt>
                <c:pt idx="240">
                  <c:v>*them*</c:v>
                </c:pt>
                <c:pt idx="241">
                  <c:v>*improv*</c:v>
                </c:pt>
                <c:pt idx="242">
                  <c:v>*prompt*</c:v>
                </c:pt>
                <c:pt idx="243">
                  <c:v>*outline*</c:v>
                </c:pt>
                <c:pt idx="244">
                  <c:v>*down*</c:v>
                </c:pt>
                <c:pt idx="245">
                  <c:v>*drum*</c:v>
                </c:pt>
                <c:pt idx="246">
                  <c:v>*notes*</c:v>
                </c:pt>
                <c:pt idx="247">
                  <c:v>*actor*</c:v>
                </c:pt>
                <c:pt idx="248">
                  <c:v>*parkour*</c:v>
                </c:pt>
                <c:pt idx="249">
                  <c:v>*how*</c:v>
                </c:pt>
                <c:pt idx="250">
                  <c:v>*bp*</c:v>
                </c:pt>
                <c:pt idx="251">
                  <c:v>*effect*</c:v>
                </c:pt>
                <c:pt idx="252">
                  <c:v>*trouble*</c:v>
                </c:pt>
                <c:pt idx="253">
                  <c:v>*shoot*</c:v>
                </c:pt>
                <c:pt idx="254">
                  <c:v>*end*</c:v>
                </c:pt>
                <c:pt idx="255">
                  <c:v>*puzzles*</c:v>
                </c:pt>
                <c:pt idx="256">
                  <c:v>*walk*</c:v>
                </c:pt>
                <c:pt idx="257">
                  <c:v>*internal*</c:v>
                </c:pt>
                <c:pt idx="258">
                  <c:v>*collision*</c:v>
                </c:pt>
                <c:pt idx="259">
                  <c:v>*func*</c:v>
                </c:pt>
                <c:pt idx="260">
                  <c:v>*small*</c:v>
                </c:pt>
                <c:pt idx="261">
                  <c:v>*site*</c:v>
                </c:pt>
                <c:pt idx="262">
                  <c:v>*particle*</c:v>
                </c:pt>
                <c:pt idx="263">
                  <c:v>*guest*</c:v>
                </c:pt>
                <c:pt idx="264">
                  <c:v>*bind*</c:v>
                </c:pt>
                <c:pt idx="265">
                  <c:v>*dialogue*</c:v>
                </c:pt>
                <c:pt idx="266">
                  <c:v>*tons*</c:v>
                </c:pt>
                <c:pt idx="267">
                  <c:v>*interview*</c:v>
                </c:pt>
                <c:pt idx="268">
                  <c:v>*pm*</c:v>
                </c:pt>
                <c:pt idx="269">
                  <c:v>*quick*</c:v>
                </c:pt>
                <c:pt idx="270">
                  <c:v>*membership*</c:v>
                </c:pt>
                <c:pt idx="271">
                  <c:v>*vote*</c:v>
                </c:pt>
                <c:pt idx="272">
                  <c:v>*sculpt*</c:v>
                </c:pt>
                <c:pt idx="273">
                  <c:v>*my*</c:v>
                </c:pt>
                <c:pt idx="274">
                  <c:v>*vision*</c:v>
                </c:pt>
                <c:pt idx="275">
                  <c:v>*engine*</c:v>
                </c:pt>
                <c:pt idx="276">
                  <c:v>*zack*</c:v>
                </c:pt>
                <c:pt idx="277">
                  <c:v>*wall*</c:v>
                </c:pt>
                <c:pt idx="278">
                  <c:v>*between*</c:v>
                </c:pt>
                <c:pt idx="279">
                  <c:v>*actors*</c:v>
                </c:pt>
                <c:pt idx="280">
                  <c:v>*bucket*</c:v>
                </c:pt>
                <c:pt idx="281">
                  <c:v>*winds*</c:v>
                </c:pt>
                <c:pt idx="282">
                  <c:v>*little*</c:v>
                </c:pt>
                <c:pt idx="283">
                  <c:v>*float*</c:v>
                </c:pt>
                <c:pt idx="284">
                  <c:v>*talk*</c:v>
                </c:pt>
                <c:pt idx="285">
                  <c:v>*tour*</c:v>
                </c:pt>
                <c:pt idx="286">
                  <c:v>*implemented*</c:v>
                </c:pt>
                <c:pt idx="287">
                  <c:v>*buttons*</c:v>
                </c:pt>
                <c:pt idx="288">
                  <c:v>*bugs*</c:v>
                </c:pt>
                <c:pt idx="289">
                  <c:v>*sounds*</c:v>
                </c:pt>
                <c:pt idx="290">
                  <c:v>*crystals*</c:v>
                </c:pt>
                <c:pt idx="291">
                  <c:v>*custom*</c:v>
                </c:pt>
                <c:pt idx="292">
                  <c:v>*feature*</c:v>
                </c:pt>
                <c:pt idx="293">
                  <c:v>*build*</c:v>
                </c:pt>
                <c:pt idx="294">
                  <c:v>*complete*</c:v>
                </c:pt>
                <c:pt idx="295">
                  <c:v>*support*</c:v>
                </c:pt>
                <c:pt idx="296">
                  <c:v>*basic*</c:v>
                </c:pt>
                <c:pt idx="297">
                  <c:v>*logos*</c:v>
                </c:pt>
                <c:pt idx="298">
                  <c:v>*app*</c:v>
                </c:pt>
                <c:pt idx="299">
                  <c:v>*cycle*</c:v>
                </c:pt>
                <c:pt idx="300">
                  <c:v>*too*</c:v>
                </c:pt>
                <c:pt idx="301">
                  <c:v>*reset*</c:v>
                </c:pt>
                <c:pt idx="302">
                  <c:v>*boat*</c:v>
                </c:pt>
                <c:pt idx="303">
                  <c:v>*open*</c:v>
                </c:pt>
                <c:pt idx="304">
                  <c:v>*late*</c:v>
                </c:pt>
                <c:pt idx="305">
                  <c:v>*reorganiz*</c:v>
                </c:pt>
                <c:pt idx="306">
                  <c:v>*controller*</c:v>
                </c:pt>
                <c:pt idx="307">
                  <c:v>*troubleshoot*</c:v>
                </c:pt>
                <c:pt idx="308">
                  <c:v>*code*</c:v>
                </c:pt>
                <c:pt idx="309">
                  <c:v>*posi*</c:v>
                </c:pt>
                <c:pt idx="310">
                  <c:v>*when*</c:v>
                </c:pt>
                <c:pt idx="311">
                  <c:v>*challenges*</c:v>
                </c:pt>
                <c:pt idx="312">
                  <c:v>*fall*</c:v>
                </c:pt>
                <c:pt idx="313">
                  <c:v>*5*</c:v>
                </c:pt>
                <c:pt idx="314">
                  <c:v>*teleport*</c:v>
                </c:pt>
                <c:pt idx="315">
                  <c:v>*light*</c:v>
                </c:pt>
                <c:pt idx="316">
                  <c:v>*2*</c:v>
                </c:pt>
                <c:pt idx="317">
                  <c:v>*length*</c:v>
                </c:pt>
                <c:pt idx="318">
                  <c:v>*adjust*</c:v>
                </c:pt>
                <c:pt idx="319">
                  <c:v>*results*</c:v>
                </c:pt>
                <c:pt idx="320">
                  <c:v>*external*</c:v>
                </c:pt>
                <c:pt idx="321">
                  <c:v>*website*</c:v>
                </c:pt>
                <c:pt idx="322">
                  <c:v>*improve*</c:v>
                </c:pt>
                <c:pt idx="323">
                  <c:v>*4*</c:v>
                </c:pt>
                <c:pt idx="324">
                  <c:v>*8*</c:v>
                </c:pt>
                <c:pt idx="325">
                  <c:v>*issues*</c:v>
                </c:pt>
                <c:pt idx="326">
                  <c:v>*audio*</c:v>
                </c:pt>
                <c:pt idx="327">
                  <c:v>*packaged*</c:v>
                </c:pt>
                <c:pt idx="328">
                  <c:v>*ths*</c:v>
                </c:pt>
                <c:pt idx="329">
                  <c:v>*optimiz*</c:v>
                </c:pt>
                <c:pt idx="330">
                  <c:v>*optim*</c:v>
                </c:pt>
                <c:pt idx="331">
                  <c:v>*its*</c:v>
                </c:pt>
                <c:pt idx="332">
                  <c:v>*mom*</c:v>
                </c:pt>
                <c:pt idx="333">
                  <c:v>*version*</c:v>
                </c:pt>
                <c:pt idx="334">
                  <c:v>*detective*</c:v>
                </c:pt>
                <c:pt idx="335">
                  <c:v>*song*</c:v>
                </c:pt>
                <c:pt idx="336">
                  <c:v>*docusign*</c:v>
                </c:pt>
                <c:pt idx="337">
                  <c:v>*materials*</c:v>
                </c:pt>
                <c:pt idx="338">
                  <c:v>*reference*</c:v>
                </c:pt>
                <c:pt idx="339">
                  <c:v>*gather*</c:v>
                </c:pt>
                <c:pt idx="340">
                  <c:v>*writ*</c:v>
                </c:pt>
                <c:pt idx="341">
                  <c:v>*investigate*</c:v>
                </c:pt>
                <c:pt idx="342">
                  <c:v>*riley*</c:v>
                </c:pt>
                <c:pt idx="343">
                  <c:v>*tool*</c:v>
                </c:pt>
                <c:pt idx="344">
                  <c:v>*reorganize*</c:v>
                </c:pt>
                <c:pt idx="345">
                  <c:v>*woodwinds*</c:v>
                </c:pt>
                <c:pt idx="346">
                  <c:v>*experiment*</c:v>
                </c:pt>
                <c:pt idx="347">
                  <c:v>*physics*</c:v>
                </c:pt>
                <c:pt idx="348">
                  <c:v>*walls*</c:v>
                </c:pt>
                <c:pt idx="349">
                  <c:v>*decorate*</c:v>
                </c:pt>
                <c:pt idx="350">
                  <c:v>*call*</c:v>
                </c:pt>
                <c:pt idx="351">
                  <c:v>*ricardo*</c:v>
                </c:pt>
                <c:pt idx="352">
                  <c:v>*palm*</c:v>
                </c:pt>
                <c:pt idx="353">
                  <c:v>*center*</c:v>
                </c:pt>
                <c:pt idx="354">
                  <c:v>*blueprints*</c:v>
                </c:pt>
                <c:pt idx="355">
                  <c:v>*slides*</c:v>
                </c:pt>
                <c:pt idx="356">
                  <c:v>*watch*</c:v>
                </c:pt>
                <c:pt idx="357">
                  <c:v>*quit*</c:v>
                </c:pt>
                <c:pt idx="358">
                  <c:v>*budget*</c:v>
                </c:pt>
                <c:pt idx="359">
                  <c:v>*based*</c:v>
                </c:pt>
                <c:pt idx="360">
                  <c:v>*compos*</c:v>
                </c:pt>
                <c:pt idx="361">
                  <c:v>*pause*</c:v>
                </c:pt>
                <c:pt idx="362">
                  <c:v>*well*</c:v>
                </c:pt>
                <c:pt idx="363">
                  <c:v>*town*</c:v>
                </c:pt>
                <c:pt idx="364">
                  <c:v>*paths*</c:v>
                </c:pt>
                <c:pt idx="365">
                  <c:v>*common*</c:v>
                </c:pt>
                <c:pt idx="366">
                  <c:v>*trail*</c:v>
                </c:pt>
                <c:pt idx="367">
                  <c:v>*user*</c:v>
                </c:pt>
                <c:pt idx="368">
                  <c:v>*files*</c:v>
                </c:pt>
                <c:pt idx="369">
                  <c:v>*moved*</c:v>
                </c:pt>
                <c:pt idx="370">
                  <c:v>*features*</c:v>
                </c:pt>
                <c:pt idx="371">
                  <c:v>*debugg*</c:v>
                </c:pt>
                <c:pt idx="372">
                  <c:v>*display*</c:v>
                </c:pt>
                <c:pt idx="373">
                  <c:v>*show*</c:v>
                </c:pt>
                <c:pt idx="374">
                  <c:v>*c++*</c:v>
                </c:pt>
                <c:pt idx="375">
                  <c:v>*class*</c:v>
                </c:pt>
                <c:pt idx="376">
                  <c:v>*glow*</c:v>
                </c:pt>
                <c:pt idx="377">
                  <c:v>*footsteps*</c:v>
                </c:pt>
                <c:pt idx="378">
                  <c:v>*follow*</c:v>
                </c:pt>
                <c:pt idx="379">
                  <c:v>*edited*</c:v>
                </c:pt>
                <c:pt idx="380">
                  <c:v>*stencil*</c:v>
                </c:pt>
                <c:pt idx="381">
                  <c:v>*ocean*</c:v>
                </c:pt>
                <c:pt idx="382">
                  <c:v>*ambient*</c:v>
                </c:pt>
                <c:pt idx="383">
                  <c:v>*daylight*</c:v>
                </c:pt>
                <c:pt idx="384">
                  <c:v>*near*</c:v>
                </c:pt>
                <c:pt idx="385">
                  <c:v>*keybind*</c:v>
                </c:pt>
                <c:pt idx="386">
                  <c:v>*warn*</c:v>
                </c:pt>
                <c:pt idx="387">
                  <c:v>*most*</c:v>
                </c:pt>
                <c:pt idx="388">
                  <c:v>*keybinds*</c:v>
                </c:pt>
                <c:pt idx="389">
                  <c:v>*group*</c:v>
                </c:pt>
                <c:pt idx="390">
                  <c:v>*night*</c:v>
                </c:pt>
                <c:pt idx="391">
                  <c:v>*collabora*</c:v>
                </c:pt>
                <c:pt idx="392">
                  <c:v>*semester*</c:v>
                </c:pt>
                <c:pt idx="393">
                  <c:v>*schedul*</c:v>
                </c:pt>
                <c:pt idx="394">
                  <c:v>*rework*</c:v>
                </c:pt>
                <c:pt idx="395">
                  <c:v>*sec*</c:v>
                </c:pt>
                <c:pt idx="396">
                  <c:v>*pickup*</c:v>
                </c:pt>
                <c:pt idx="397">
                  <c:v>*fail*</c:v>
                </c:pt>
                <c:pt idx="398">
                  <c:v>*made*</c:v>
                </c:pt>
                <c:pt idx="399">
                  <c:v>*confirm*</c:v>
                </c:pt>
                <c:pt idx="400">
                  <c:v>*ful*</c:v>
                </c:pt>
                <c:pt idx="401">
                  <c:v>*works*</c:v>
                </c:pt>
                <c:pt idx="402">
                  <c:v>*consolid*</c:v>
                </c:pt>
                <c:pt idx="403">
                  <c:v>*consolidat*</c:v>
                </c:pt>
                <c:pt idx="404">
                  <c:v>*tests*</c:v>
                </c:pt>
                <c:pt idx="405">
                  <c:v>*constrain*</c:v>
                </c:pt>
                <c:pt idx="406">
                  <c:v>*mesh*</c:v>
                </c:pt>
                <c:pt idx="407">
                  <c:v>*broken*</c:v>
                </c:pt>
                <c:pt idx="408">
                  <c:v>*began*</c:v>
                </c:pt>
                <c:pt idx="409">
                  <c:v>*touches*</c:v>
                </c:pt>
                <c:pt idx="410">
                  <c:v>*integrat*</c:v>
                </c:pt>
                <c:pt idx="411">
                  <c:v>*tile*</c:v>
                </c:pt>
                <c:pt idx="412">
                  <c:v>*drums*</c:v>
                </c:pt>
                <c:pt idx="413">
                  <c:v>*each*</c:v>
                </c:pt>
                <c:pt idx="414">
                  <c:v>*decal*</c:v>
                </c:pt>
                <c:pt idx="415">
                  <c:v>*rough*</c:v>
                </c:pt>
                <c:pt idx="416">
                  <c:v>*steven*</c:v>
                </c:pt>
                <c:pt idx="417">
                  <c:v>*symbol*</c:v>
                </c:pt>
                <c:pt idx="418">
                  <c:v>*filled*</c:v>
                </c:pt>
                <c:pt idx="419">
                  <c:v>*mountain*</c:v>
                </c:pt>
                <c:pt idx="420">
                  <c:v>*edits*</c:v>
                </c:pt>
                <c:pt idx="421">
                  <c:v>*interface*</c:v>
                </c:pt>
                <c:pt idx="422">
                  <c:v>*simple*</c:v>
                </c:pt>
                <c:pt idx="423">
                  <c:v>*water*</c:v>
                </c:pt>
                <c:pt idx="424">
                  <c:v>*particles*</c:v>
                </c:pt>
                <c:pt idx="425">
                  <c:v>*race*</c:v>
                </c:pt>
                <c:pt idx="426">
                  <c:v>*completed*</c:v>
                </c:pt>
                <c:pt idx="427">
                  <c:v>*come*</c:v>
                </c:pt>
                <c:pt idx="428">
                  <c:v>*after*</c:v>
                </c:pt>
                <c:pt idx="429">
                  <c:v>*map*</c:v>
                </c:pt>
                <c:pt idx="430">
                  <c:v>*state*</c:v>
                </c:pt>
                <c:pt idx="431">
                  <c:v>*splines*</c:v>
                </c:pt>
                <c:pt idx="432">
                  <c:v>*tweak*</c:v>
                </c:pt>
                <c:pt idx="433">
                  <c:v>*runn*</c:v>
                </c:pt>
                <c:pt idx="434">
                  <c:v>*save*</c:v>
                </c:pt>
                <c:pt idx="435">
                  <c:v>*unlock*</c:v>
                </c:pt>
                <c:pt idx="436">
                  <c:v>*varia*</c:v>
                </c:pt>
                <c:pt idx="437">
                  <c:v>*dynamic*</c:v>
                </c:pt>
                <c:pt idx="438">
                  <c:v>*investig*</c:v>
                </c:pt>
                <c:pt idx="439">
                  <c:v>*sequences*</c:v>
                </c:pt>
                <c:pt idx="440">
                  <c:v>*npc*</c:v>
                </c:pt>
                <c:pt idx="441">
                  <c:v>*models*</c:v>
                </c:pt>
                <c:pt idx="442">
                  <c:v>*dad*</c:v>
                </c:pt>
                <c:pt idx="443">
                  <c:v>*queen*</c:v>
                </c:pt>
                <c:pt idx="444">
                  <c:v>*princess*</c:v>
                </c:pt>
                <c:pt idx="445">
                  <c:v>*cards*</c:v>
                </c:pt>
                <c:pt idx="446">
                  <c:v>*jira*</c:v>
                </c:pt>
                <c:pt idx="447">
                  <c:v>*tunnel*</c:v>
                </c:pt>
                <c:pt idx="448">
                  <c:v>*robot*</c:v>
                </c:pt>
                <c:pt idx="449">
                  <c:v>*sail*</c:v>
                </c:pt>
                <c:pt idx="450">
                  <c:v>*ravensgard*</c:v>
                </c:pt>
                <c:pt idx="451">
                  <c:v>*bolinger*</c:v>
                </c:pt>
                <c:pt idx="452">
                  <c:v>*gaea*</c:v>
                </c:pt>
                <c:pt idx="453">
                  <c:v>*appearance*</c:v>
                </c:pt>
                <c:pt idx="454">
                  <c:v>*workspace*</c:v>
                </c:pt>
                <c:pt idx="455">
                  <c:v>*licens*</c:v>
                </c:pt>
                <c:pt idx="456">
                  <c:v>*risk*</c:v>
                </c:pt>
                <c:pt idx="457">
                  <c:v>*assessment*</c:v>
                </c:pt>
                <c:pt idx="458">
                  <c:v>*found*</c:v>
                </c:pt>
                <c:pt idx="459">
                  <c:v>*licences*</c:v>
                </c:pt>
                <c:pt idx="460">
                  <c:v>*teammates*</c:v>
                </c:pt>
                <c:pt idx="461">
                  <c:v>*commit*</c:v>
                </c:pt>
                <c:pt idx="462">
                  <c:v>*preliminary*</c:v>
                </c:pt>
                <c:pt idx="463">
                  <c:v>*paint*</c:v>
                </c:pt>
                <c:pt idx="464">
                  <c:v>*layers*</c:v>
                </c:pt>
                <c:pt idx="465">
                  <c:v>*palisade*</c:v>
                </c:pt>
                <c:pt idx="466">
                  <c:v>*restart*</c:v>
                </c:pt>
                <c:pt idx="467">
                  <c:v>*shells*</c:v>
                </c:pt>
                <c:pt idx="468">
                  <c:v>*coral*</c:v>
                </c:pt>
                <c:pt idx="469">
                  <c:v>*prepar*</c:v>
                </c:pt>
                <c:pt idx="470">
                  <c:v>*rocks*</c:v>
                </c:pt>
                <c:pt idx="471">
                  <c:v>*grass*</c:v>
                </c:pt>
                <c:pt idx="472">
                  <c:v>*islands*</c:v>
                </c:pt>
                <c:pt idx="473">
                  <c:v>*around*</c:v>
                </c:pt>
                <c:pt idx="474">
                  <c:v>*lake*</c:v>
                </c:pt>
                <c:pt idx="475">
                  <c:v>*backup*</c:v>
                </c:pt>
                <c:pt idx="476">
                  <c:v>*still*</c:v>
                </c:pt>
                <c:pt idx="477">
                  <c:v>*instrument*</c:v>
                </c:pt>
                <c:pt idx="478">
                  <c:v>*over*</c:v>
                </c:pt>
                <c:pt idx="479">
                  <c:v>*object*</c:v>
                </c:pt>
                <c:pt idx="480">
                  <c:v>*colored*</c:v>
                </c:pt>
                <c:pt idx="481">
                  <c:v>*several*</c:v>
                </c:pt>
                <c:pt idx="482">
                  <c:v>*versions*</c:v>
                </c:pt>
                <c:pt idx="483">
                  <c:v>*choos*</c:v>
                </c:pt>
                <c:pt idx="484">
                  <c:v>*poss*</c:v>
                </c:pt>
                <c:pt idx="485">
                  <c:v>*paid*</c:v>
                </c:pt>
                <c:pt idx="486">
                  <c:v>*escape*</c:v>
                </c:pt>
                <c:pt idx="487">
                  <c:v>*remain*</c:v>
                </c:pt>
                <c:pt idx="488">
                  <c:v>*pads*</c:v>
                </c:pt>
                <c:pt idx="489">
                  <c:v>*pressed*</c:v>
                </c:pt>
                <c:pt idx="490">
                  <c:v>*level*</c:v>
                </c:pt>
                <c:pt idx="491">
                  <c:v>*everywhere*</c:v>
                </c:pt>
                <c:pt idx="492">
                  <c:v>*outliner*</c:v>
                </c:pt>
                <c:pt idx="493">
                  <c:v>*async*</c:v>
                </c:pt>
                <c:pt idx="494">
                  <c:v>*screens*</c:v>
                </c:pt>
                <c:pt idx="495">
                  <c:v>*behind*</c:v>
                </c:pt>
                <c:pt idx="496">
                  <c:v>*gener*</c:v>
                </c:pt>
                <c:pt idx="497">
                  <c:v>*collisions*</c:v>
                </c:pt>
                <c:pt idx="498">
                  <c:v>*enhanced*</c:v>
                </c:pt>
                <c:pt idx="499">
                  <c:v>*standalone*</c:v>
                </c:pt>
                <c:pt idx="500">
                  <c:v>*recogniz*</c:v>
                </c:pt>
                <c:pt idx="501">
                  <c:v>*behaviors*</c:v>
                </c:pt>
                <c:pt idx="502">
                  <c:v>*demo*</c:v>
                </c:pt>
                <c:pt idx="503">
                  <c:v>*attempted*</c:v>
                </c:pt>
                <c:pt idx="504">
                  <c:v>*brand*</c:v>
                </c:pt>
                <c:pt idx="505">
                  <c:v>*colors*</c:v>
                </c:pt>
                <c:pt idx="506">
                  <c:v>*font*</c:v>
                </c:pt>
                <c:pt idx="507">
                  <c:v>*leaders*</c:v>
                </c:pt>
                <c:pt idx="508">
                  <c:v>*textures*</c:v>
                </c:pt>
                <c:pt idx="509">
                  <c:v>*fences*</c:v>
                </c:pt>
                <c:pt idx="510">
                  <c:v>*lanters*</c:v>
                </c:pt>
                <c:pt idx="511">
                  <c:v>*emmission*</c:v>
                </c:pt>
                <c:pt idx="512">
                  <c:v>*qualities*</c:v>
                </c:pt>
                <c:pt idx="513">
                  <c:v>*twice*</c:v>
                </c:pt>
                <c:pt idx="514">
                  <c:v>*because*</c:v>
                </c:pt>
                <c:pt idx="515">
                  <c:v>*stop*</c:v>
                </c:pt>
                <c:pt idx="516">
                  <c:v>*giv*</c:v>
                </c:pt>
                <c:pt idx="517">
                  <c:v>*page*</c:v>
                </c:pt>
                <c:pt idx="518">
                  <c:v>*that*</c:v>
                </c:pt>
                <c:pt idx="519">
                  <c:v>*process*</c:v>
                </c:pt>
                <c:pt idx="520">
                  <c:v>*volume*</c:v>
                </c:pt>
                <c:pt idx="521">
                  <c:v>*have*</c:v>
                </c:pt>
                <c:pt idx="522">
                  <c:v>*sky*</c:v>
                </c:pt>
                <c:pt idx="523">
                  <c:v>*boundary*</c:v>
                </c:pt>
                <c:pt idx="524">
                  <c:v>*depth*</c:v>
                </c:pt>
                <c:pt idx="525">
                  <c:v>*certain*</c:v>
                </c:pt>
                <c:pt idx="526">
                  <c:v>*restore*</c:v>
                </c:pt>
                <c:pt idx="527">
                  <c:v>*shirts*</c:v>
                </c:pt>
                <c:pt idx="528">
                  <c:v>*entrance*</c:v>
                </c:pt>
                <c:pt idx="529">
                  <c:v>*continued*</c:v>
                </c:pt>
                <c:pt idx="530">
                  <c:v>*confirma*</c:v>
                </c:pt>
                <c:pt idx="531">
                  <c:v>*remapp*</c:v>
                </c:pt>
                <c:pt idx="532">
                  <c:v>*needs*</c:v>
                </c:pt>
                <c:pt idx="533">
                  <c:v>*correc*</c:v>
                </c:pt>
                <c:pt idx="534">
                  <c:v>*find*</c:v>
                </c:pt>
                <c:pt idx="535">
                  <c:v>*event*</c:v>
                </c:pt>
                <c:pt idx="536">
                  <c:v>*ovals*</c:v>
                </c:pt>
                <c:pt idx="537">
                  <c:v>*greyscale*</c:v>
                </c:pt>
                <c:pt idx="538">
                  <c:v>*titlescreen*</c:v>
                </c:pt>
                <c:pt idx="539">
                  <c:v>*finals*</c:v>
                </c:pt>
                <c:pt idx="540">
                  <c:v>*showcase*</c:v>
                </c:pt>
                <c:pt idx="541">
                  <c:v>*ironed*</c:v>
                </c:pt>
                <c:pt idx="542">
                  <c:v>*footprints*</c:v>
                </c:pt>
                <c:pt idx="543">
                  <c:v>*submission*</c:v>
                </c:pt>
                <c:pt idx="544">
                  <c:v>*khakis*</c:v>
                </c:pt>
                <c:pt idx="545">
                  <c:v>*before*</c:v>
                </c:pt>
                <c:pt idx="546">
                  <c:v>*compar*</c:v>
                </c:pt>
                <c:pt idx="547">
                  <c:v>*schedules*</c:v>
                </c:pt>
                <c:pt idx="548">
                  <c:v>*next*</c:v>
                </c:pt>
                <c:pt idx="549">
                  <c:v>*renam*</c:v>
                </c:pt>
                <c:pt idx="550">
                  <c:v>*decals*</c:v>
                </c:pt>
                <c:pt idx="551">
                  <c:v>*redesign*</c:v>
                </c:pt>
                <c:pt idx="552">
                  <c:v>*stack*</c:v>
                </c:pt>
                <c:pt idx="553">
                  <c:v>*controllers*</c:v>
                </c:pt>
                <c:pt idx="554">
                  <c:v>*modular*</c:v>
                </c:pt>
                <c:pt idx="555">
                  <c:v>*woods*</c:v>
                </c:pt>
                <c:pt idx="556">
                  <c:v>*classes*</c:v>
                </c:pt>
                <c:pt idx="557">
                  <c:v>*schema*</c:v>
                </c:pt>
                <c:pt idx="558">
                  <c:v>*clear*</c:v>
                </c:pt>
                <c:pt idx="559">
                  <c:v>*restora*</c:v>
                </c:pt>
                <c:pt idx="560">
                  <c:v>*redid*</c:v>
                </c:pt>
                <c:pt idx="561">
                  <c:v>*graphical*</c:v>
                </c:pt>
                <c:pt idx="562">
                  <c:v>*band*</c:v>
                </c:pt>
                <c:pt idx="563">
                  <c:v>*blend*</c:v>
                </c:pt>
                <c:pt idx="564">
                  <c:v>*pushed*</c:v>
                </c:pt>
                <c:pt idx="565">
                  <c:v>*refine*</c:v>
                </c:pt>
                <c:pt idx="566">
                  <c:v>*loca*</c:v>
                </c:pt>
                <c:pt idx="567">
                  <c:v>*connect*</c:v>
                </c:pt>
                <c:pt idx="568">
                  <c:v>*categories*</c:v>
                </c:pt>
                <c:pt idx="569">
                  <c:v>*reskin*</c:v>
                </c:pt>
                <c:pt idx="570">
                  <c:v>*controls*</c:v>
                </c:pt>
                <c:pt idx="571">
                  <c:v>*layout*</c:v>
                </c:pt>
                <c:pt idx="572">
                  <c:v>*modeled*</c:v>
                </c:pt>
                <c:pt idx="573">
                  <c:v>*poly*</c:v>
                </c:pt>
                <c:pt idx="574">
                  <c:v>*needed*</c:v>
                </c:pt>
                <c:pt idx="575">
                  <c:v>*had*</c:v>
                </c:pt>
                <c:pt idx="576">
                  <c:v>*bit*</c:v>
                </c:pt>
                <c:pt idx="577">
                  <c:v>*tiles*</c:v>
                </c:pt>
                <c:pt idx="578">
                  <c:v>*expand*</c:v>
                </c:pt>
                <c:pt idx="579">
                  <c:v>*size*</c:v>
                </c:pt>
                <c:pt idx="580">
                  <c:v>*exit*</c:v>
                </c:pt>
                <c:pt idx="581">
                  <c:v>*proper*</c:v>
                </c:pt>
                <c:pt idx="582">
                  <c:v>*aside*</c:v>
                </c:pt>
                <c:pt idx="583">
                  <c:v>*checker*</c:v>
                </c:pt>
                <c:pt idx="584">
                  <c:v>*persistent*</c:v>
                </c:pt>
                <c:pt idx="585">
                  <c:v>*picked*</c:v>
                </c:pt>
                <c:pt idx="586">
                  <c:v>*unit*</c:v>
                </c:pt>
                <c:pt idx="587">
                  <c:v>*spreadsheet*</c:v>
                </c:pt>
                <c:pt idx="588">
                  <c:v>*zone*</c:v>
                </c:pt>
                <c:pt idx="589">
                  <c:v>*leads*</c:v>
                </c:pt>
                <c:pt idx="590">
                  <c:v>*sphere*</c:v>
                </c:pt>
                <c:pt idx="591">
                  <c:v>*changed*</c:v>
                </c:pt>
                <c:pt idx="592">
                  <c:v>*constrained*</c:v>
                </c:pt>
                <c:pt idx="593">
                  <c:v>*meshes*</c:v>
                </c:pt>
                <c:pt idx="594">
                  <c:v>*replace*</c:v>
                </c:pt>
                <c:pt idx="595">
                  <c:v>*problematic*</c:v>
                </c:pt>
                <c:pt idx="596">
                  <c:v>*bamboo*</c:v>
                </c:pt>
                <c:pt idx="597">
                  <c:v>*crosshair*</c:v>
                </c:pt>
                <c:pt idx="598">
                  <c:v>*adjustments*</c:v>
                </c:pt>
                <c:pt idx="599">
                  <c:v>*integrate*</c:v>
                </c:pt>
                <c:pt idx="600">
                  <c:v>*reworked*</c:v>
                </c:pt>
                <c:pt idx="601">
                  <c:v>*2x2*</c:v>
                </c:pt>
                <c:pt idx="602">
                  <c:v>*3x3*</c:v>
                </c:pt>
                <c:pt idx="603">
                  <c:v>*4x4*</c:v>
                </c:pt>
                <c:pt idx="604">
                  <c:v>*grids*</c:v>
                </c:pt>
                <c:pt idx="605">
                  <c:v>*segmented*</c:v>
                </c:pt>
                <c:pt idx="606">
                  <c:v>*images*</c:v>
                </c:pt>
                <c:pt idx="607">
                  <c:v>*separate*</c:v>
                </c:pt>
                <c:pt idx="608">
                  <c:v>*onto*</c:v>
                </c:pt>
                <c:pt idx="609">
                  <c:v>*match*</c:v>
                </c:pt>
                <c:pt idx="610">
                  <c:v>*symbols*</c:v>
                </c:pt>
                <c:pt idx="611">
                  <c:v>*nearby*</c:v>
                </c:pt>
                <c:pt idx="612">
                  <c:v>*vary*</c:v>
                </c:pt>
                <c:pt idx="613">
                  <c:v>*lengths*</c:v>
                </c:pt>
                <c:pt idx="614">
                  <c:v>*placement*</c:v>
                </c:pt>
                <c:pt idx="615">
                  <c:v>*attach*</c:v>
                </c:pt>
                <c:pt idx="616">
                  <c:v>*radial*</c:v>
                </c:pt>
                <c:pt idx="617">
                  <c:v>*turn*</c:v>
                </c:pt>
                <c:pt idx="618">
                  <c:v>*2nd*</c:v>
                </c:pt>
                <c:pt idx="619">
                  <c:v>*percussions*</c:v>
                </c:pt>
                <c:pt idx="620">
                  <c:v>*server*</c:v>
                </c:pt>
                <c:pt idx="621">
                  <c:v>*resculpt*</c:v>
                </c:pt>
                <c:pt idx="622">
                  <c:v>*elements*</c:v>
                </c:pt>
                <c:pt idx="623">
                  <c:v>*condi*</c:v>
                </c:pt>
                <c:pt idx="624">
                  <c:v>*register*</c:v>
                </c:pt>
                <c:pt idx="625">
                  <c:v>*etcs*</c:v>
                </c:pt>
                <c:pt idx="626">
                  <c:v>*revis*</c:v>
                </c:pt>
                <c:pt idx="627">
                  <c:v>*calculate*</c:v>
                </c:pt>
                <c:pt idx="628">
                  <c:v>*distance*</c:v>
                </c:pt>
                <c:pt idx="629">
                  <c:v>*spin*</c:v>
                </c:pt>
                <c:pt idx="630">
                  <c:v>*bounce*</c:v>
                </c:pt>
                <c:pt idx="631">
                  <c:v>*speed*</c:v>
                </c:pt>
                <c:pt idx="632">
                  <c:v>*jingle*</c:v>
                </c:pt>
                <c:pt idx="633">
                  <c:v>*obstacle*</c:v>
                </c:pt>
                <c:pt idx="634">
                  <c:v>*exe*</c:v>
                </c:pt>
                <c:pt idx="635">
                  <c:v>*further*</c:v>
                </c:pt>
                <c:pt idx="636">
                  <c:v>*caves*</c:v>
                </c:pt>
                <c:pt idx="637">
                  <c:v>*wait*</c:v>
                </c:pt>
                <c:pt idx="638">
                  <c:v>*until*</c:v>
                </c:pt>
                <c:pt idx="639">
                  <c:v>*documents*</c:v>
                </c:pt>
                <c:pt idx="640">
                  <c:v>*playtests*</c:v>
                </c:pt>
                <c:pt idx="641">
                  <c:v>*book*</c:v>
                </c:pt>
                <c:pt idx="642">
                  <c:v>*installer*</c:v>
                </c:pt>
                <c:pt idx="643">
                  <c:v>*ue5*</c:v>
                </c:pt>
                <c:pt idx="644">
                  <c:v>*niagara*</c:v>
                </c:pt>
                <c:pt idx="645">
                  <c:v>*firef*</c:v>
                </c:pt>
                <c:pt idx="646">
                  <c:v>*nighttime*</c:v>
                </c:pt>
                <c:pt idx="647">
                  <c:v>*colormechanicppv*</c:v>
                </c:pt>
                <c:pt idx="648">
                  <c:v>*visibil*</c:v>
                </c:pt>
                <c:pt idx="649">
                  <c:v>*gathered*</c:v>
                </c:pt>
                <c:pt idx="650">
                  <c:v>*shoreline*</c:v>
                </c:pt>
                <c:pt idx="651">
                  <c:v>*beach*</c:v>
                </c:pt>
                <c:pt idx="652">
                  <c:v>*fade*</c:v>
                </c:pt>
                <c:pt idx="653">
                  <c:v>*black*</c:v>
                </c:pt>
                <c:pt idx="654">
                  <c:v>*visuals*</c:v>
                </c:pt>
                <c:pt idx="655">
                  <c:v>*cleanups*</c:v>
                </c:pt>
                <c:pt idx="656">
                  <c:v>*cool*</c:v>
                </c:pt>
                <c:pt idx="657">
                  <c:v>*central*</c:v>
                </c:pt>
                <c:pt idx="658">
                  <c:v>*temple*</c:v>
                </c:pt>
                <c:pt idx="659">
                  <c:v>*improvements*</c:v>
                </c:pt>
                <c:pt idx="660">
                  <c:v>*webbed*</c:v>
                </c:pt>
                <c:pt idx="661">
                  <c:v>*allow*</c:v>
                </c:pt>
                <c:pt idx="662">
                  <c:v>*required*</c:v>
                </c:pt>
                <c:pt idx="663">
                  <c:v>*number*</c:v>
                </c:pt>
                <c:pt idx="664">
                  <c:v>*collected*</c:v>
                </c:pt>
                <c:pt idx="665">
                  <c:v>*write*</c:v>
                </c:pt>
                <c:pt idx="666">
                  <c:v>*types*</c:v>
                </c:pt>
                <c:pt idx="667">
                  <c:v>*effort*</c:v>
                </c:pt>
                <c:pt idx="668">
                  <c:v>*food*</c:v>
                </c:pt>
                <c:pt idx="669">
                  <c:v>*tester*</c:v>
                </c:pt>
                <c:pt idx="670">
                  <c:v>*organiza*</c:v>
                </c:pt>
                <c:pt idx="671">
                  <c:v>*vs*</c:v>
                </c:pt>
                <c:pt idx="672">
                  <c:v>*systems*</c:v>
                </c:pt>
                <c:pt idx="673">
                  <c:v>*cooked*</c:v>
                </c:pt>
                <c:pt idx="674">
                  <c:v>*input*</c:v>
                </c:pt>
                <c:pt idx="675">
                  <c:v>*toggle*</c:v>
                </c:pt>
                <c:pt idx="676">
                  <c:v>*valves*</c:v>
                </c:pt>
                <c:pt idx="677">
                  <c:v>*handl*</c:v>
                </c:pt>
                <c:pt idx="678">
                  <c:v>*sessions*</c:v>
                </c:pt>
                <c:pt idx="679">
                  <c:v>*6*</c:v>
                </c:pt>
                <c:pt idx="680">
                  <c:v>*7*</c:v>
                </c:pt>
                <c:pt idx="681">
                  <c:v>*look*</c:v>
                </c:pt>
                <c:pt idx="682">
                  <c:v>*p4ignore*</c:v>
                </c:pt>
                <c:pt idx="683">
                  <c:v>*couple*</c:v>
                </c:pt>
                <c:pt idx="684">
                  <c:v>*prototype*</c:v>
                </c:pt>
                <c:pt idx="685">
                  <c:v>*clos*</c:v>
                </c:pt>
                <c:pt idx="686">
                  <c:v>*dynamical*</c:v>
                </c:pt>
                <c:pt idx="687">
                  <c:v>*presett*</c:v>
                </c:pt>
                <c:pt idx="688">
                  <c:v>*random*</c:v>
                </c:pt>
                <c:pt idx="689">
                  <c:v>*tweaked*</c:v>
                </c:pt>
                <c:pt idx="690">
                  <c:v>*box*</c:v>
                </c:pt>
                <c:pt idx="691">
                  <c:v>*buffer*</c:v>
                </c:pt>
                <c:pt idx="692">
                  <c:v>*beginn*</c:v>
                </c:pt>
                <c:pt idx="693">
                  <c:v>*requirements*</c:v>
                </c:pt>
                <c:pt idx="694">
                  <c:v>*movement*</c:v>
                </c:pt>
                <c:pt idx="695">
                  <c:v>*prompts*</c:v>
                </c:pt>
                <c:pt idx="696">
                  <c:v>*shape*</c:v>
                </c:pt>
                <c:pt idx="697">
                  <c:v>*popul*</c:v>
                </c:pt>
                <c:pt idx="698">
                  <c:v>*json*</c:v>
                </c:pt>
                <c:pt idx="699">
                  <c:v>*data*</c:v>
                </c:pt>
                <c:pt idx="700">
                  <c:v>*familiar*</c:v>
                </c:pt>
                <c:pt idx="701">
                  <c:v>*editor*</c:v>
                </c:pt>
                <c:pt idx="702">
                  <c:v>*solo*</c:v>
                </c:pt>
                <c:pt idx="703">
                  <c:v>*then*</c:v>
                </c:pt>
                <c:pt idx="704">
                  <c:v>*partial*</c:v>
                </c:pt>
                <c:pt idx="705">
                  <c:v>*failed*</c:v>
                </c:pt>
                <c:pt idx="706">
                  <c:v>*signs*</c:v>
                </c:pt>
                <c:pt idx="707">
                  <c:v>*widgets*</c:v>
                </c:pt>
                <c:pt idx="708">
                  <c:v>*programm*</c:v>
                </c:pt>
                <c:pt idx="709">
                  <c:v>*npcs*</c:v>
                </c:pt>
                <c:pt idx="710">
                  <c:v>*chains*</c:v>
                </c:pt>
                <c:pt idx="711">
                  <c:v>*optimiza*</c:v>
                </c:pt>
                <c:pt idx="712">
                  <c:v>*theme*</c:v>
                </c:pt>
                <c:pt idx="713">
                  <c:v>*vram*</c:v>
                </c:pt>
                <c:pt idx="714">
                  <c:v>*hopeful*</c:v>
                </c:pt>
                <c:pt idx="715">
                  <c:v>*last*</c:v>
                </c:pt>
                <c:pt idx="716">
                  <c:v>*discuss*</c:v>
                </c:pt>
                <c:pt idx="717">
                  <c:v>*why*</c:v>
                </c:pt>
                <c:pt idx="718">
                  <c:v>*again*</c:v>
                </c:pt>
                <c:pt idx="719">
                  <c:v>*outro*</c:v>
                </c:pt>
                <c:pt idx="720">
                  <c:v>*scroll*</c:v>
                </c:pt>
                <c:pt idx="721">
                  <c:v>*credits*</c:v>
                </c:pt>
                <c:pt idx="722">
                  <c:v>*third*</c:v>
                </c:pt>
                <c:pt idx="723">
                  <c:v>*person*</c:v>
                </c:pt>
                <c:pt idx="724">
                  <c:v>*characters*</c:v>
                </c:pt>
                <c:pt idx="725">
                  <c:v>*tutorials*</c:v>
                </c:pt>
                <c:pt idx="726">
                  <c:v>*notab*</c:v>
                </c:pt>
                <c:pt idx="727">
                  <c:v>*sensitiv*</c:v>
                </c:pt>
                <c:pt idx="728">
                  <c:v>*passages*</c:v>
                </c:pt>
                <c:pt idx="729">
                  <c:v>*trailer*</c:v>
                </c:pt>
                <c:pt idx="730">
                  <c:v>*parents*</c:v>
                </c:pt>
                <c:pt idx="731">
                  <c:v>*polish*</c:v>
                </c:pt>
                <c:pt idx="732">
                  <c:v>*tidy*</c:v>
                </c:pt>
                <c:pt idx="733">
                  <c:v>*stuff*</c:v>
                </c:pt>
                <c:pt idx="734">
                  <c:v>*upload*</c:v>
                </c:pt>
                <c:pt idx="735">
                  <c:v>*business*</c:v>
                </c:pt>
                <c:pt idx="736">
                  <c:v>*current*</c:v>
                </c:pt>
                <c:pt idx="737">
                  <c:v>*mouse*</c:v>
                </c:pt>
                <c:pt idx="738">
                  <c:v>*bp_passage*</c:v>
                </c:pt>
                <c:pt idx="739">
                  <c:v>*across*</c:v>
                </c:pt>
                <c:pt idx="740">
                  <c:v>*two*</c:v>
                </c:pt>
                <c:pt idx="741">
                  <c:v>*longer*</c:v>
                </c:pt>
                <c:pt idx="742">
                  <c:v>*list*</c:v>
                </c:pt>
                <c:pt idx="743">
                  <c:v>*future*</c:v>
                </c:pt>
                <c:pt idx="744">
                  <c:v>*dur*</c:v>
                </c:pt>
                <c:pt idx="745">
                  <c:v>*multiple*</c:v>
                </c:pt>
                <c:pt idx="746">
                  <c:v>*playthroughs*</c:v>
                </c:pt>
                <c:pt idx="747">
                  <c:v>*started*</c:v>
                </c:pt>
                <c:pt idx="748">
                  <c:v>*message*</c:v>
                </c:pt>
                <c:pt idx="749">
                  <c:v>*background*</c:v>
                </c:pt>
                <c:pt idx="750">
                  <c:v>*hallway*</c:v>
                </c:pt>
                <c:pt idx="751">
                  <c:v>*ops*</c:v>
                </c:pt>
                <c:pt idx="752">
                  <c:v>*logans*</c:v>
                </c:pt>
                <c:pt idx="753">
                  <c:v>*setts*</c:v>
                </c:pt>
                <c:pt idx="754">
                  <c:v>*warns*</c:v>
                </c:pt>
                <c:pt idx="755">
                  <c:v>*funcal*</c:v>
                </c:pt>
                <c:pt idx="756">
                  <c:v>*wouldnt*</c:v>
                </c:pt>
                <c:pt idx="757">
                  <c:v>*walksprint*</c:v>
                </c:pt>
                <c:pt idx="758">
                  <c:v>*ingame*</c:v>
                </c:pt>
                <c:pt idx="759">
                  <c:v>*upput*</c:v>
                </c:pt>
                <c:pt idx="760">
                  <c:v>*collects*</c:v>
                </c:pt>
                <c:pt idx="761">
                  <c:v>*varis*</c:v>
                </c:pt>
                <c:pt idx="762">
                  <c:v>*acs*</c:v>
                </c:pt>
                <c:pt idx="763">
                  <c:v>*suggess*</c:v>
                </c:pt>
                <c:pt idx="764">
                  <c:v>*interacs*</c:v>
                </c:pt>
                <c:pt idx="765">
                  <c:v>*walkrunn*</c:v>
                </c:pt>
                <c:pt idx="766">
                  <c:v>*bps*</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strCache>
            </c:strRef>
          </c:cat>
          <c:val>
            <c:numRef>
              <c:f>Sheet1!$R$55:$R$977</c:f>
              <c:numCache>
                <c:formatCode>General</c:formatCode>
                <c:ptCount val="923"/>
                <c:pt idx="0">
                  <c:v>838</c:v>
                </c:pt>
                <c:pt idx="1">
                  <c:v>647</c:v>
                </c:pt>
                <c:pt idx="2">
                  <c:v>572</c:v>
                </c:pt>
                <c:pt idx="3">
                  <c:v>464</c:v>
                </c:pt>
                <c:pt idx="4">
                  <c:v>312</c:v>
                </c:pt>
                <c:pt idx="5">
                  <c:v>299</c:v>
                </c:pt>
                <c:pt idx="6">
                  <c:v>221</c:v>
                </c:pt>
                <c:pt idx="7">
                  <c:v>181</c:v>
                </c:pt>
                <c:pt idx="8">
                  <c:v>151</c:v>
                </c:pt>
                <c:pt idx="9">
                  <c:v>145</c:v>
                </c:pt>
                <c:pt idx="10">
                  <c:v>131</c:v>
                </c:pt>
                <c:pt idx="11">
                  <c:v>131</c:v>
                </c:pt>
                <c:pt idx="12">
                  <c:v>116</c:v>
                </c:pt>
                <c:pt idx="13">
                  <c:v>112</c:v>
                </c:pt>
                <c:pt idx="14">
                  <c:v>112</c:v>
                </c:pt>
                <c:pt idx="15">
                  <c:v>92</c:v>
                </c:pt>
                <c:pt idx="16">
                  <c:v>90</c:v>
                </c:pt>
                <c:pt idx="17">
                  <c:v>89</c:v>
                </c:pt>
                <c:pt idx="18">
                  <c:v>88</c:v>
                </c:pt>
                <c:pt idx="19">
                  <c:v>84</c:v>
                </c:pt>
                <c:pt idx="20">
                  <c:v>81</c:v>
                </c:pt>
                <c:pt idx="21">
                  <c:v>79</c:v>
                </c:pt>
                <c:pt idx="22">
                  <c:v>69</c:v>
                </c:pt>
                <c:pt idx="23">
                  <c:v>63</c:v>
                </c:pt>
                <c:pt idx="24">
                  <c:v>63</c:v>
                </c:pt>
                <c:pt idx="25">
                  <c:v>53</c:v>
                </c:pt>
                <c:pt idx="26">
                  <c:v>47</c:v>
                </c:pt>
                <c:pt idx="27">
                  <c:v>42</c:v>
                </c:pt>
                <c:pt idx="28">
                  <c:v>41</c:v>
                </c:pt>
                <c:pt idx="29">
                  <c:v>40</c:v>
                </c:pt>
                <c:pt idx="30">
                  <c:v>39</c:v>
                </c:pt>
                <c:pt idx="31">
                  <c:v>38</c:v>
                </c:pt>
                <c:pt idx="32">
                  <c:v>38</c:v>
                </c:pt>
                <c:pt idx="33">
                  <c:v>35</c:v>
                </c:pt>
                <c:pt idx="34">
                  <c:v>35</c:v>
                </c:pt>
                <c:pt idx="35">
                  <c:v>34</c:v>
                </c:pt>
                <c:pt idx="36">
                  <c:v>33</c:v>
                </c:pt>
                <c:pt idx="37">
                  <c:v>33</c:v>
                </c:pt>
                <c:pt idx="38">
                  <c:v>32</c:v>
                </c:pt>
                <c:pt idx="39">
                  <c:v>32</c:v>
                </c:pt>
                <c:pt idx="40">
                  <c:v>31</c:v>
                </c:pt>
                <c:pt idx="41">
                  <c:v>28</c:v>
                </c:pt>
                <c:pt idx="42">
                  <c:v>28</c:v>
                </c:pt>
                <c:pt idx="43">
                  <c:v>28</c:v>
                </c:pt>
                <c:pt idx="44">
                  <c:v>27</c:v>
                </c:pt>
                <c:pt idx="45">
                  <c:v>27</c:v>
                </c:pt>
                <c:pt idx="46">
                  <c:v>27</c:v>
                </c:pt>
                <c:pt idx="47">
                  <c:v>27</c:v>
                </c:pt>
                <c:pt idx="48">
                  <c:v>26</c:v>
                </c:pt>
                <c:pt idx="49">
                  <c:v>26</c:v>
                </c:pt>
                <c:pt idx="50">
                  <c:v>24</c:v>
                </c:pt>
                <c:pt idx="51">
                  <c:v>24</c:v>
                </c:pt>
                <c:pt idx="52">
                  <c:v>24</c:v>
                </c:pt>
                <c:pt idx="53">
                  <c:v>23</c:v>
                </c:pt>
                <c:pt idx="54">
                  <c:v>23</c:v>
                </c:pt>
                <c:pt idx="55">
                  <c:v>22</c:v>
                </c:pt>
                <c:pt idx="56">
                  <c:v>21</c:v>
                </c:pt>
                <c:pt idx="57">
                  <c:v>21</c:v>
                </c:pt>
                <c:pt idx="58">
                  <c:v>21</c:v>
                </c:pt>
                <c:pt idx="59">
                  <c:v>20</c:v>
                </c:pt>
                <c:pt idx="60">
                  <c:v>20</c:v>
                </c:pt>
                <c:pt idx="61">
                  <c:v>20</c:v>
                </c:pt>
                <c:pt idx="62">
                  <c:v>19</c:v>
                </c:pt>
                <c:pt idx="63">
                  <c:v>19</c:v>
                </c:pt>
                <c:pt idx="64">
                  <c:v>19</c:v>
                </c:pt>
                <c:pt idx="65">
                  <c:v>18</c:v>
                </c:pt>
                <c:pt idx="66">
                  <c:v>18</c:v>
                </c:pt>
                <c:pt idx="67">
                  <c:v>18</c:v>
                </c:pt>
                <c:pt idx="68">
                  <c:v>17</c:v>
                </c:pt>
                <c:pt idx="69">
                  <c:v>17</c:v>
                </c:pt>
                <c:pt idx="70">
                  <c:v>17</c:v>
                </c:pt>
                <c:pt idx="71">
                  <c:v>17</c:v>
                </c:pt>
                <c:pt idx="72">
                  <c:v>17</c:v>
                </c:pt>
                <c:pt idx="73">
                  <c:v>17</c:v>
                </c:pt>
                <c:pt idx="74">
                  <c:v>16</c:v>
                </c:pt>
                <c:pt idx="75">
                  <c:v>16</c:v>
                </c:pt>
                <c:pt idx="76">
                  <c:v>15</c:v>
                </c:pt>
                <c:pt idx="77">
                  <c:v>15</c:v>
                </c:pt>
                <c:pt idx="78">
                  <c:v>15</c:v>
                </c:pt>
                <c:pt idx="79">
                  <c:v>15</c:v>
                </c:pt>
                <c:pt idx="80">
                  <c:v>14</c:v>
                </c:pt>
                <c:pt idx="81">
                  <c:v>14</c:v>
                </c:pt>
                <c:pt idx="82">
                  <c:v>14</c:v>
                </c:pt>
                <c:pt idx="83">
                  <c:v>14</c:v>
                </c:pt>
                <c:pt idx="84">
                  <c:v>13</c:v>
                </c:pt>
                <c:pt idx="85">
                  <c:v>13</c:v>
                </c:pt>
                <c:pt idx="86">
                  <c:v>13</c:v>
                </c:pt>
                <c:pt idx="87">
                  <c:v>13</c:v>
                </c:pt>
                <c:pt idx="88">
                  <c:v>13</c:v>
                </c:pt>
                <c:pt idx="89">
                  <c:v>13</c:v>
                </c:pt>
                <c:pt idx="90">
                  <c:v>12</c:v>
                </c:pt>
                <c:pt idx="91">
                  <c:v>12</c:v>
                </c:pt>
                <c:pt idx="92">
                  <c:v>12</c:v>
                </c:pt>
                <c:pt idx="93">
                  <c:v>12</c:v>
                </c:pt>
                <c:pt idx="94">
                  <c:v>12</c:v>
                </c:pt>
                <c:pt idx="95">
                  <c:v>12</c:v>
                </c:pt>
                <c:pt idx="96">
                  <c:v>12</c:v>
                </c:pt>
                <c:pt idx="97">
                  <c:v>11</c:v>
                </c:pt>
                <c:pt idx="98">
                  <c:v>11</c:v>
                </c:pt>
                <c:pt idx="99">
                  <c:v>11</c:v>
                </c:pt>
                <c:pt idx="100">
                  <c:v>11</c:v>
                </c:pt>
                <c:pt idx="101">
                  <c:v>11</c:v>
                </c:pt>
                <c:pt idx="102">
                  <c:v>11</c:v>
                </c:pt>
                <c:pt idx="103">
                  <c:v>11</c:v>
                </c:pt>
                <c:pt idx="104">
                  <c:v>10</c:v>
                </c:pt>
                <c:pt idx="105">
                  <c:v>10</c:v>
                </c:pt>
                <c:pt idx="106">
                  <c:v>10</c:v>
                </c:pt>
                <c:pt idx="107">
                  <c:v>10</c:v>
                </c:pt>
                <c:pt idx="108">
                  <c:v>10</c:v>
                </c:pt>
                <c:pt idx="109">
                  <c:v>10</c:v>
                </c:pt>
                <c:pt idx="110">
                  <c:v>10</c:v>
                </c:pt>
                <c:pt idx="111">
                  <c:v>10</c:v>
                </c:pt>
                <c:pt idx="112">
                  <c:v>10</c:v>
                </c:pt>
                <c:pt idx="113">
                  <c:v>10</c:v>
                </c:pt>
                <c:pt idx="114">
                  <c:v>10</c:v>
                </c:pt>
                <c:pt idx="115">
                  <c:v>10</c:v>
                </c:pt>
                <c:pt idx="116">
                  <c:v>10</c:v>
                </c:pt>
                <c:pt idx="117">
                  <c:v>9</c:v>
                </c:pt>
                <c:pt idx="118">
                  <c:v>9</c:v>
                </c:pt>
                <c:pt idx="119">
                  <c:v>9</c:v>
                </c:pt>
                <c:pt idx="120">
                  <c:v>9</c:v>
                </c:pt>
                <c:pt idx="121">
                  <c:v>9</c:v>
                </c:pt>
                <c:pt idx="122">
                  <c:v>9</c:v>
                </c:pt>
                <c:pt idx="123">
                  <c:v>9</c:v>
                </c:pt>
                <c:pt idx="124">
                  <c:v>9</c:v>
                </c:pt>
                <c:pt idx="125">
                  <c:v>9</c:v>
                </c:pt>
                <c:pt idx="126">
                  <c:v>8</c:v>
                </c:pt>
                <c:pt idx="127">
                  <c:v>8</c:v>
                </c:pt>
                <c:pt idx="128">
                  <c:v>8</c:v>
                </c:pt>
                <c:pt idx="129">
                  <c:v>8</c:v>
                </c:pt>
                <c:pt idx="130">
                  <c:v>8</c:v>
                </c:pt>
                <c:pt idx="131">
                  <c:v>8</c:v>
                </c:pt>
                <c:pt idx="132">
                  <c:v>8</c:v>
                </c:pt>
                <c:pt idx="133">
                  <c:v>8</c:v>
                </c:pt>
                <c:pt idx="134">
                  <c:v>8</c:v>
                </c:pt>
                <c:pt idx="135">
                  <c:v>8</c:v>
                </c:pt>
                <c:pt idx="136">
                  <c:v>8</c:v>
                </c:pt>
                <c:pt idx="137">
                  <c:v>8</c:v>
                </c:pt>
                <c:pt idx="138">
                  <c:v>8</c:v>
                </c:pt>
                <c:pt idx="139">
                  <c:v>8</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6</c:v>
                </c:pt>
                <c:pt idx="186">
                  <c:v>6</c:v>
                </c:pt>
                <c:pt idx="187">
                  <c:v>6</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5</c:v>
                </c:pt>
                <c:pt idx="222">
                  <c:v>5</c:v>
                </c:pt>
                <c:pt idx="223">
                  <c:v>5</c:v>
                </c:pt>
                <c:pt idx="224">
                  <c:v>4</c:v>
                </c:pt>
                <c:pt idx="225">
                  <c:v>4</c:v>
                </c:pt>
                <c:pt idx="226">
                  <c:v>4</c:v>
                </c:pt>
                <c:pt idx="227">
                  <c:v>4</c:v>
                </c:pt>
                <c:pt idx="228">
                  <c:v>4</c:v>
                </c:pt>
                <c:pt idx="229">
                  <c:v>4</c:v>
                </c:pt>
                <c:pt idx="230">
                  <c:v>4</c:v>
                </c:pt>
                <c:pt idx="231">
                  <c:v>4</c:v>
                </c:pt>
                <c:pt idx="232">
                  <c:v>4</c:v>
                </c:pt>
                <c:pt idx="233">
                  <c:v>4</c:v>
                </c:pt>
                <c:pt idx="234">
                  <c:v>4</c:v>
                </c:pt>
                <c:pt idx="235">
                  <c:v>4</c:v>
                </c:pt>
                <c:pt idx="236">
                  <c:v>4</c:v>
                </c:pt>
                <c:pt idx="237">
                  <c:v>4</c:v>
                </c:pt>
                <c:pt idx="238">
                  <c:v>4</c:v>
                </c:pt>
                <c:pt idx="239">
                  <c:v>4</c:v>
                </c:pt>
                <c:pt idx="240">
                  <c:v>4</c:v>
                </c:pt>
                <c:pt idx="241">
                  <c:v>4</c:v>
                </c:pt>
                <c:pt idx="242">
                  <c:v>4</c:v>
                </c:pt>
                <c:pt idx="243">
                  <c:v>4</c:v>
                </c:pt>
                <c:pt idx="244">
                  <c:v>4</c:v>
                </c:pt>
                <c:pt idx="245">
                  <c:v>4</c:v>
                </c:pt>
                <c:pt idx="246">
                  <c:v>4</c:v>
                </c:pt>
                <c:pt idx="247">
                  <c:v>4</c:v>
                </c:pt>
                <c:pt idx="248">
                  <c:v>4</c:v>
                </c:pt>
                <c:pt idx="249">
                  <c:v>4</c:v>
                </c:pt>
                <c:pt idx="250">
                  <c:v>4</c:v>
                </c:pt>
                <c:pt idx="251">
                  <c:v>4</c:v>
                </c:pt>
                <c:pt idx="252">
                  <c:v>4</c:v>
                </c:pt>
                <c:pt idx="253">
                  <c:v>4</c:v>
                </c:pt>
                <c:pt idx="254">
                  <c:v>4</c:v>
                </c:pt>
                <c:pt idx="255">
                  <c:v>4</c:v>
                </c:pt>
                <c:pt idx="256">
                  <c:v>4</c:v>
                </c:pt>
                <c:pt idx="257">
                  <c:v>4</c:v>
                </c:pt>
                <c:pt idx="258">
                  <c:v>4</c:v>
                </c:pt>
                <c:pt idx="259">
                  <c:v>4</c:v>
                </c:pt>
                <c:pt idx="260">
                  <c:v>4</c:v>
                </c:pt>
                <c:pt idx="261">
                  <c:v>4</c:v>
                </c:pt>
                <c:pt idx="262">
                  <c:v>4</c:v>
                </c:pt>
                <c:pt idx="263">
                  <c:v>4</c:v>
                </c:pt>
                <c:pt idx="264">
                  <c:v>4</c:v>
                </c:pt>
                <c:pt idx="265">
                  <c:v>4</c:v>
                </c:pt>
                <c:pt idx="266">
                  <c:v>4</c:v>
                </c:pt>
                <c:pt idx="267">
                  <c:v>3</c:v>
                </c:pt>
                <c:pt idx="268">
                  <c:v>3</c:v>
                </c:pt>
                <c:pt idx="269">
                  <c:v>3</c:v>
                </c:pt>
                <c:pt idx="270">
                  <c:v>3</c:v>
                </c:pt>
                <c:pt idx="271">
                  <c:v>3</c:v>
                </c:pt>
                <c:pt idx="272">
                  <c:v>3</c:v>
                </c:pt>
                <c:pt idx="273">
                  <c:v>3</c:v>
                </c:pt>
                <c:pt idx="274">
                  <c:v>3</c:v>
                </c:pt>
                <c:pt idx="275">
                  <c:v>3</c:v>
                </c:pt>
                <c:pt idx="276">
                  <c:v>3</c:v>
                </c:pt>
                <c:pt idx="277">
                  <c:v>3</c:v>
                </c:pt>
                <c:pt idx="278">
                  <c:v>3</c:v>
                </c:pt>
                <c:pt idx="279">
                  <c:v>3</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2</c:v>
                </c:pt>
                <c:pt idx="334">
                  <c:v>2</c:v>
                </c:pt>
                <c:pt idx="335">
                  <c:v>2</c:v>
                </c:pt>
                <c:pt idx="336">
                  <c:v>2</c:v>
                </c:pt>
                <c:pt idx="337">
                  <c:v>2</c:v>
                </c:pt>
                <c:pt idx="338">
                  <c:v>2</c:v>
                </c:pt>
                <c:pt idx="339">
                  <c:v>2</c:v>
                </c:pt>
                <c:pt idx="340">
                  <c:v>2</c:v>
                </c:pt>
                <c:pt idx="341">
                  <c:v>2</c:v>
                </c:pt>
                <c:pt idx="342">
                  <c:v>2</c:v>
                </c:pt>
                <c:pt idx="343">
                  <c:v>2</c:v>
                </c:pt>
                <c:pt idx="344">
                  <c:v>2</c:v>
                </c:pt>
                <c:pt idx="345">
                  <c:v>2</c:v>
                </c:pt>
                <c:pt idx="346">
                  <c:v>2</c:v>
                </c:pt>
                <c:pt idx="347">
                  <c:v>2</c:v>
                </c:pt>
                <c:pt idx="348">
                  <c:v>2</c:v>
                </c:pt>
                <c:pt idx="349">
                  <c:v>2</c:v>
                </c:pt>
                <c:pt idx="350">
                  <c:v>2</c:v>
                </c:pt>
                <c:pt idx="351">
                  <c:v>2</c:v>
                </c:pt>
                <c:pt idx="352">
                  <c:v>2</c:v>
                </c:pt>
                <c:pt idx="353">
                  <c:v>2</c:v>
                </c:pt>
                <c:pt idx="354">
                  <c:v>2</c:v>
                </c:pt>
                <c:pt idx="355">
                  <c:v>2</c:v>
                </c:pt>
                <c:pt idx="356">
                  <c:v>2</c:v>
                </c:pt>
                <c:pt idx="357">
                  <c:v>2</c:v>
                </c:pt>
                <c:pt idx="358">
                  <c:v>2</c:v>
                </c:pt>
                <c:pt idx="359">
                  <c:v>2</c:v>
                </c:pt>
                <c:pt idx="360">
                  <c:v>2</c:v>
                </c:pt>
                <c:pt idx="361">
                  <c:v>2</c:v>
                </c:pt>
                <c:pt idx="362">
                  <c:v>2</c:v>
                </c:pt>
                <c:pt idx="363">
                  <c:v>2</c:v>
                </c:pt>
                <c:pt idx="364">
                  <c:v>2</c:v>
                </c:pt>
                <c:pt idx="365">
                  <c:v>2</c:v>
                </c:pt>
                <c:pt idx="366">
                  <c:v>2</c:v>
                </c:pt>
                <c:pt idx="367">
                  <c:v>2</c:v>
                </c:pt>
                <c:pt idx="368">
                  <c:v>2</c:v>
                </c:pt>
                <c:pt idx="369">
                  <c:v>2</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2</c:v>
                </c:pt>
                <c:pt idx="390">
                  <c:v>2</c:v>
                </c:pt>
                <c:pt idx="391">
                  <c:v>2</c:v>
                </c:pt>
                <c:pt idx="392">
                  <c:v>2</c:v>
                </c:pt>
                <c:pt idx="393">
                  <c:v>2</c:v>
                </c:pt>
                <c:pt idx="394">
                  <c:v>2</c:v>
                </c:pt>
                <c:pt idx="395">
                  <c:v>2</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2</c:v>
                </c:pt>
                <c:pt idx="410">
                  <c:v>2</c:v>
                </c:pt>
                <c:pt idx="411">
                  <c:v>2</c:v>
                </c:pt>
                <c:pt idx="412">
                  <c:v>2</c:v>
                </c:pt>
                <c:pt idx="413">
                  <c:v>2</c:v>
                </c:pt>
                <c:pt idx="414">
                  <c:v>2</c:v>
                </c:pt>
                <c:pt idx="415">
                  <c:v>2</c:v>
                </c:pt>
                <c:pt idx="416">
                  <c:v>2</c:v>
                </c:pt>
                <c:pt idx="417">
                  <c:v>2</c:v>
                </c:pt>
                <c:pt idx="418">
                  <c:v>2</c:v>
                </c:pt>
                <c:pt idx="419">
                  <c:v>2</c:v>
                </c:pt>
                <c:pt idx="420">
                  <c:v>2</c:v>
                </c:pt>
                <c:pt idx="421">
                  <c:v>2</c:v>
                </c:pt>
                <c:pt idx="422">
                  <c:v>2</c:v>
                </c:pt>
                <c:pt idx="423">
                  <c:v>2</c:v>
                </c:pt>
                <c:pt idx="424">
                  <c:v>2</c:v>
                </c:pt>
                <c:pt idx="425">
                  <c:v>2</c:v>
                </c:pt>
                <c:pt idx="426">
                  <c:v>2</c:v>
                </c:pt>
                <c:pt idx="427">
                  <c:v>2</c:v>
                </c:pt>
                <c:pt idx="428">
                  <c:v>2</c:v>
                </c:pt>
                <c:pt idx="429">
                  <c:v>2</c:v>
                </c:pt>
                <c:pt idx="430">
                  <c:v>2</c:v>
                </c:pt>
                <c:pt idx="431">
                  <c:v>2</c:v>
                </c:pt>
                <c:pt idx="432">
                  <c:v>2</c:v>
                </c:pt>
                <c:pt idx="433">
                  <c:v>2</c:v>
                </c:pt>
                <c:pt idx="434">
                  <c:v>2</c:v>
                </c:pt>
                <c:pt idx="435">
                  <c:v>2</c:v>
                </c:pt>
                <c:pt idx="436">
                  <c:v>2</c:v>
                </c:pt>
                <c:pt idx="437">
                  <c:v>2</c:v>
                </c:pt>
                <c:pt idx="438">
                  <c:v>2</c:v>
                </c:pt>
                <c:pt idx="439">
                  <c:v>2</c:v>
                </c:pt>
                <c:pt idx="440">
                  <c:v>2</c:v>
                </c:pt>
                <c:pt idx="441">
                  <c:v>2</c:v>
                </c:pt>
                <c:pt idx="442">
                  <c:v>2</c:v>
                </c:pt>
                <c:pt idx="443">
                  <c:v>2</c:v>
                </c:pt>
                <c:pt idx="444">
                  <c:v>2</c:v>
                </c:pt>
                <c:pt idx="445">
                  <c:v>2</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numCache>
            </c:numRef>
          </c:val>
          <c:smooth val="0"/>
          <c:extLst>
            <c:ext xmlns:c16="http://schemas.microsoft.com/office/drawing/2014/chart" uri="{C3380CC4-5D6E-409C-BE32-E72D297353CC}">
              <c16:uniqueId val="{299EAEC6-586D-4012-9038-DAD6853ACCCB}"/>
            </c:ext>
          </c:extLst>
        </c:ser>
        <c:dLbls>
          <c:showLegendKey val="0"/>
          <c:showVal val="0"/>
          <c:showCatName val="0"/>
          <c:showSerName val="0"/>
          <c:showPercent val="0"/>
          <c:showBubbleSize val="0"/>
        </c:dLbls>
        <c:smooth val="0"/>
        <c:axId val="27944968"/>
        <c:axId val="27947016"/>
      </c:lineChart>
      <c:catAx>
        <c:axId val="27944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Sorted words by frequency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47016"/>
        <c:crosses val="autoZero"/>
        <c:auto val="1"/>
        <c:lblAlgn val="ctr"/>
        <c:lblOffset val="100"/>
        <c:noMultiLvlLbl val="0"/>
      </c:catAx>
      <c:valAx>
        <c:axId val="279470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449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0</xdr:colOff>
      <xdr:row>53</xdr:row>
      <xdr:rowOff>47625</xdr:rowOff>
    </xdr:from>
    <xdr:to>
      <xdr:col>29</xdr:col>
      <xdr:colOff>304800</xdr:colOff>
      <xdr:row>67</xdr:row>
      <xdr:rowOff>123825</xdr:rowOff>
    </xdr:to>
    <xdr:graphicFrame macro="">
      <xdr:nvGraphicFramePr>
        <xdr:cNvPr id="4" name="Chart 3" descr="Chart type: Line. 'DF'&#10;&#10;Description automatically generated">
          <a:extLst>
            <a:ext uri="{FF2B5EF4-FFF2-40B4-BE49-F238E27FC236}">
              <a16:creationId xmlns:a16="http://schemas.microsoft.com/office/drawing/2014/main" id="{CAA89E2A-C3C0-4114-CF09-B42A1D2CA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77"/>
  <sheetViews>
    <sheetView tabSelected="1" topLeftCell="G1" workbookViewId="0">
      <pane ySplit="4" topLeftCell="A792" activePane="bottomLeft" state="frozen"/>
      <selection pane="bottomLeft" activeCell="K842" sqref="K842"/>
    </sheetView>
  </sheetViews>
  <sheetFormatPr defaultColWidth="9.140625" defaultRowHeight="15"/>
  <cols>
    <col min="1" max="1" width="2.7109375" style="1" customWidth="1"/>
    <col min="2" max="2" width="11.7109375" style="47" customWidth="1"/>
    <col min="3" max="3" width="11.28515625" style="48" customWidth="1"/>
    <col min="4" max="4" width="14.85546875" style="41" customWidth="1"/>
    <col min="5" max="5" width="14.85546875" style="42" customWidth="1"/>
    <col min="6" max="6" width="2.7109375" style="4" customWidth="1"/>
    <col min="7" max="7" width="15.7109375" style="27" customWidth="1"/>
    <col min="8" max="8" width="10.140625" style="29" bestFit="1" customWidth="1"/>
    <col min="9" max="9" width="8.42578125" style="29" bestFit="1" customWidth="1"/>
    <col min="10" max="10" width="12" style="29" bestFit="1" customWidth="1"/>
    <col min="11" max="11" width="58.5703125" style="30" customWidth="1"/>
    <col min="12" max="12" width="2.7109375" style="7" customWidth="1"/>
    <col min="13" max="13" width="24.5703125" style="43" customWidth="1"/>
    <col min="14" max="15" width="16.42578125" style="43" customWidth="1"/>
    <col min="16" max="16" width="27" style="43" customWidth="1"/>
    <col min="17" max="17" width="24.28515625" style="43" customWidth="1"/>
    <col min="18" max="18" width="25.140625" style="43" customWidth="1"/>
    <col min="19" max="19" width="20.42578125" style="43" customWidth="1"/>
    <col min="20" max="20" width="11.140625" style="69" bestFit="1" customWidth="1"/>
    <col min="21" max="21" width="2.7109375" style="1" customWidth="1"/>
    <col min="22" max="16384" width="9.140625" style="10"/>
  </cols>
  <sheetData>
    <row r="1" spans="1:21" s="1" customFormat="1">
      <c r="B1" s="2"/>
      <c r="C1" s="3"/>
      <c r="D1" s="4"/>
      <c r="E1" s="4"/>
      <c r="F1" s="4"/>
      <c r="G1" s="4"/>
      <c r="H1" s="5"/>
      <c r="I1" s="5"/>
      <c r="J1" s="5"/>
      <c r="K1" s="6"/>
      <c r="L1" s="7"/>
      <c r="M1" s="8"/>
      <c r="N1" s="8"/>
      <c r="O1" s="8"/>
      <c r="P1" s="8"/>
      <c r="Q1" s="8"/>
      <c r="R1" s="8"/>
      <c r="S1" s="8"/>
      <c r="T1" s="4"/>
    </row>
    <row r="2" spans="1:21">
      <c r="B2" s="75" t="s">
        <v>0</v>
      </c>
      <c r="C2" s="76"/>
      <c r="D2" s="76"/>
      <c r="E2" s="76"/>
      <c r="F2" s="9"/>
      <c r="G2" s="76" t="s">
        <v>1</v>
      </c>
      <c r="H2" s="76"/>
      <c r="I2" s="76"/>
      <c r="J2" s="76"/>
      <c r="K2" s="84"/>
      <c r="L2" s="9"/>
      <c r="M2" s="75" t="s">
        <v>2</v>
      </c>
      <c r="N2" s="76"/>
      <c r="O2" s="76"/>
      <c r="P2" s="76"/>
      <c r="Q2" s="76"/>
      <c r="R2" s="76"/>
      <c r="S2" s="76"/>
      <c r="T2" s="84"/>
    </row>
    <row r="3" spans="1:21" s="15" customFormat="1">
      <c r="A3" s="1"/>
      <c r="B3" s="77"/>
      <c r="C3" s="78"/>
      <c r="D3" s="78"/>
      <c r="E3" s="78"/>
      <c r="F3" s="12"/>
      <c r="G3" s="81" t="s">
        <v>3</v>
      </c>
      <c r="H3" s="82"/>
      <c r="I3" s="82"/>
      <c r="J3" s="82"/>
      <c r="K3" s="83"/>
      <c r="L3" s="13"/>
      <c r="M3" s="81" t="s">
        <v>4</v>
      </c>
      <c r="N3" s="82"/>
      <c r="O3" s="82"/>
      <c r="P3" s="82"/>
      <c r="Q3" s="82"/>
      <c r="R3" s="82"/>
      <c r="S3" s="82"/>
      <c r="T3" s="83"/>
      <c r="U3" s="14"/>
    </row>
    <row r="4" spans="1:21" s="23" customFormat="1">
      <c r="A4" s="1"/>
      <c r="B4" s="16" t="s">
        <v>5</v>
      </c>
      <c r="C4" s="17" t="s">
        <v>6</v>
      </c>
      <c r="D4" s="17" t="s">
        <v>7</v>
      </c>
      <c r="E4" s="11" t="s">
        <v>8</v>
      </c>
      <c r="F4" s="18"/>
      <c r="G4" s="19" t="s">
        <v>9</v>
      </c>
      <c r="H4" s="17" t="s">
        <v>10</v>
      </c>
      <c r="I4" s="17" t="s">
        <v>11</v>
      </c>
      <c r="J4" s="17" t="s">
        <v>12</v>
      </c>
      <c r="K4" s="20" t="s">
        <v>13</v>
      </c>
      <c r="L4" s="21"/>
      <c r="M4" s="85" t="s">
        <v>14</v>
      </c>
      <c r="N4" s="78"/>
      <c r="O4" s="78"/>
      <c r="P4" s="79"/>
      <c r="Q4" s="11"/>
      <c r="R4" s="11"/>
      <c r="S4" s="79" t="s">
        <v>15</v>
      </c>
      <c r="T4" s="80"/>
      <c r="U4" s="22"/>
    </row>
    <row r="5" spans="1:21">
      <c r="B5" s="24">
        <v>45891</v>
      </c>
      <c r="C5" s="25">
        <v>45907</v>
      </c>
      <c r="D5" s="26">
        <v>0</v>
      </c>
      <c r="E5" s="26">
        <v>1</v>
      </c>
      <c r="G5" s="27" cm="1">
        <f t="array" ref="G5">INDEX($D:$D, MATCH(1, (H5 &gt;= $B:$B) * (H5 &lt;= $C:$C), 0))</f>
        <v>0</v>
      </c>
      <c r="H5" s="28">
        <v>45891</v>
      </c>
      <c r="I5" s="29" t="s">
        <v>16</v>
      </c>
      <c r="J5" s="29">
        <v>3</v>
      </c>
      <c r="K5" s="30" t="s">
        <v>17</v>
      </c>
      <c r="M5" s="11" t="s">
        <v>11</v>
      </c>
      <c r="N5" s="11" t="s">
        <v>18</v>
      </c>
      <c r="O5" s="11" t="s">
        <v>19</v>
      </c>
      <c r="P5" s="11" t="s">
        <v>20</v>
      </c>
      <c r="Q5" s="11" t="s">
        <v>21</v>
      </c>
      <c r="R5" s="31" t="s">
        <v>22</v>
      </c>
      <c r="S5" s="11" t="s">
        <v>23</v>
      </c>
      <c r="T5" s="27">
        <v>16</v>
      </c>
    </row>
    <row r="6" spans="1:21">
      <c r="B6" s="24">
        <v>45908</v>
      </c>
      <c r="C6" s="25">
        <v>45921</v>
      </c>
      <c r="D6" s="26">
        <v>1</v>
      </c>
      <c r="E6" s="26">
        <v>1</v>
      </c>
      <c r="G6" s="27" cm="1">
        <f t="array" ref="G6">INDEX($D:$D, MATCH(1, (H6 &gt;= $B:$B) * (H6 &lt;= $C:$C), 0))</f>
        <v>0</v>
      </c>
      <c r="H6" s="28">
        <v>45891</v>
      </c>
      <c r="I6" s="29" t="s">
        <v>24</v>
      </c>
      <c r="J6" s="29">
        <v>3</v>
      </c>
      <c r="K6" s="30" t="s">
        <v>17</v>
      </c>
      <c r="M6" s="26" t="str" cm="1">
        <f t="array" ref="M6:M11">_xlfn.UNIQUE(I5:I103)</f>
        <v>Steven</v>
      </c>
      <c r="N6" s="26">
        <f t="shared" ref="N6:N11" si="0">SUMIFS($J$5:$J$1055, $I$5:$I$1055, $M6, $H$5:$H$1055, "&gt;="&amp;$B$5, $H$5:$H$1055, "&lt;="&amp;$C$15)</f>
        <v>212.5</v>
      </c>
      <c r="O6" s="26">
        <f t="shared" ref="O6:O11" si="1">SUMIFS($J$5:$J$1055, $I$5:$I$1055, $M6, $H$5:$H$1055, "&gt;="&amp;$B$16, $H$5:$H$1055, "&lt;="&amp;$C$26)</f>
        <v>247.5</v>
      </c>
      <c r="P6" s="26">
        <f>$N6+$O6</f>
        <v>460</v>
      </c>
      <c r="Q6" s="26">
        <f ca="1">ROUND($O6/$T$11,2)</f>
        <v>15.61</v>
      </c>
      <c r="R6" s="27">
        <f ca="1">ROUND($P6/($T$5+$T$11),2)</f>
        <v>14.44</v>
      </c>
      <c r="S6" s="11" t="s">
        <v>25</v>
      </c>
      <c r="T6" s="27">
        <f>2*T5</f>
        <v>32</v>
      </c>
    </row>
    <row r="7" spans="1:21">
      <c r="B7" s="24">
        <v>45922</v>
      </c>
      <c r="C7" s="25">
        <v>45935</v>
      </c>
      <c r="D7" s="26">
        <v>2</v>
      </c>
      <c r="E7" s="26">
        <v>1</v>
      </c>
      <c r="G7" s="27" cm="1">
        <f t="array" ref="G7">INDEX($D:$D, MATCH(1, (H7 &gt;= $B:$B) * (H7 &lt;= $C:$C), 0))</f>
        <v>0</v>
      </c>
      <c r="H7" s="28">
        <v>45891</v>
      </c>
      <c r="I7" s="29" t="s">
        <v>26</v>
      </c>
      <c r="J7" s="29">
        <v>3</v>
      </c>
      <c r="K7" s="30" t="s">
        <v>17</v>
      </c>
      <c r="M7" s="26" t="str">
        <v>Zack</v>
      </c>
      <c r="N7" s="26">
        <f t="shared" si="0"/>
        <v>138</v>
      </c>
      <c r="O7" s="26">
        <f t="shared" si="1"/>
        <v>158</v>
      </c>
      <c r="P7" s="26">
        <f t="shared" ref="P7:P11" si="2">$N7+$O7</f>
        <v>296</v>
      </c>
      <c r="Q7" s="26">
        <f t="shared" ref="Q7:Q10" ca="1" si="3">ROUND($O7/$T$11,2)</f>
        <v>9.9600000000000009</v>
      </c>
      <c r="R7" s="27">
        <f ca="1">ROUND($P7/($T$5+$T$11),2)</f>
        <v>9.2899999999999991</v>
      </c>
      <c r="S7" s="11" t="s">
        <v>27</v>
      </c>
      <c r="T7" s="32">
        <f>B5</f>
        <v>45891</v>
      </c>
    </row>
    <row r="8" spans="1:21">
      <c r="B8" s="24">
        <v>45936</v>
      </c>
      <c r="C8" s="25">
        <v>45947</v>
      </c>
      <c r="D8" s="26">
        <v>3</v>
      </c>
      <c r="E8" s="26">
        <v>1</v>
      </c>
      <c r="G8" s="33" cm="1">
        <f t="array" ref="G8">INDEX($D:$D, MATCH(1, (H8 &gt;= $B:$B) * (H8 &lt;= $C:$C), 0))</f>
        <v>0</v>
      </c>
      <c r="H8" s="34">
        <v>45891</v>
      </c>
      <c r="I8" s="35" t="s">
        <v>28</v>
      </c>
      <c r="J8" s="35">
        <v>3</v>
      </c>
      <c r="K8" s="36" t="s">
        <v>17</v>
      </c>
      <c r="M8" s="26" t="str">
        <v>Harrison</v>
      </c>
      <c r="N8" s="26">
        <f t="shared" si="0"/>
        <v>120</v>
      </c>
      <c r="O8" s="26">
        <f t="shared" si="1"/>
        <v>134.25</v>
      </c>
      <c r="P8" s="26">
        <f t="shared" si="2"/>
        <v>254.25</v>
      </c>
      <c r="Q8" s="26">
        <f t="shared" ca="1" si="3"/>
        <v>8.4600000000000009</v>
      </c>
      <c r="R8" s="27">
        <f t="shared" ref="R8:R9" ca="1" si="4">ROUND($P8/($T$5+$T$11),2)</f>
        <v>7.98</v>
      </c>
      <c r="S8" s="11" t="s">
        <v>29</v>
      </c>
      <c r="T8" s="32">
        <f ca="1">MIN(B17, T9-1)</f>
        <v>46036</v>
      </c>
    </row>
    <row r="9" spans="1:21">
      <c r="B9" s="24">
        <v>45948</v>
      </c>
      <c r="C9" s="25">
        <v>45951</v>
      </c>
      <c r="D9" s="26" t="s">
        <v>30</v>
      </c>
      <c r="E9" s="26" t="s">
        <v>30</v>
      </c>
      <c r="G9" s="27" cm="1">
        <f t="array" ref="G9">INDEX($D:$D, MATCH(1, (H9 &gt;= $B:$B) * (H9 &lt;= $C:$C), 0))</f>
        <v>0</v>
      </c>
      <c r="H9" s="28">
        <v>45892</v>
      </c>
      <c r="I9" s="29" t="s">
        <v>24</v>
      </c>
      <c r="J9" s="29">
        <v>4</v>
      </c>
      <c r="K9" s="30" t="s">
        <v>31</v>
      </c>
      <c r="M9" s="26" t="str">
        <v>Riley</v>
      </c>
      <c r="N9" s="26">
        <f t="shared" si="0"/>
        <v>117</v>
      </c>
      <c r="O9" s="26">
        <f t="shared" si="1"/>
        <v>153.75</v>
      </c>
      <c r="P9" s="26">
        <f t="shared" si="2"/>
        <v>270.75</v>
      </c>
      <c r="Q9" s="26">
        <f t="shared" ca="1" si="3"/>
        <v>9.69</v>
      </c>
      <c r="R9" s="27">
        <f t="shared" ca="1" si="4"/>
        <v>8.5</v>
      </c>
      <c r="S9" s="11" t="s">
        <v>32</v>
      </c>
      <c r="T9" s="32">
        <f ca="1">TODAY()</f>
        <v>46147</v>
      </c>
    </row>
    <row r="10" spans="1:21">
      <c r="B10" s="24">
        <v>45952</v>
      </c>
      <c r="C10" s="25">
        <v>45963</v>
      </c>
      <c r="D10" s="26">
        <v>4</v>
      </c>
      <c r="E10" s="26">
        <v>2</v>
      </c>
      <c r="G10" s="27" cm="1">
        <f t="array" ref="G10">INDEX($D:$D, MATCH(1, (H10 &gt;= $B:$B) * (H10 &lt;= $C:$C), 0))</f>
        <v>0</v>
      </c>
      <c r="H10" s="28">
        <v>45892</v>
      </c>
      <c r="I10" s="29" t="s">
        <v>16</v>
      </c>
      <c r="J10" s="29">
        <v>4</v>
      </c>
      <c r="K10" s="30" t="s">
        <v>31</v>
      </c>
      <c r="M10" s="26" t="str">
        <v>Ricardo</v>
      </c>
      <c r="N10" s="26">
        <f t="shared" si="0"/>
        <v>114</v>
      </c>
      <c r="O10" s="26">
        <f t="shared" si="1"/>
        <v>128.75</v>
      </c>
      <c r="P10" s="26">
        <f t="shared" si="2"/>
        <v>242.75</v>
      </c>
      <c r="Q10" s="26">
        <f t="shared" ca="1" si="3"/>
        <v>8.1199999999999992</v>
      </c>
      <c r="R10" s="27">
        <f ca="1">ROUND($P10/($T$5+$T$11),2)</f>
        <v>7.62</v>
      </c>
      <c r="S10" s="11" t="s">
        <v>33</v>
      </c>
      <c r="T10" s="27">
        <f ca="1">T9-T8</f>
        <v>111</v>
      </c>
    </row>
    <row r="11" spans="1:21">
      <c r="B11" s="24">
        <v>45964</v>
      </c>
      <c r="C11" s="25">
        <v>45977</v>
      </c>
      <c r="D11" s="26">
        <v>5</v>
      </c>
      <c r="E11" s="26">
        <v>2</v>
      </c>
      <c r="G11" s="27" cm="1">
        <f t="array" ref="G11">INDEX($D:$D, MATCH(1, (H11 &gt;= $B:$B) * (H11 &lt;= $C:$C), 0))</f>
        <v>0</v>
      </c>
      <c r="H11" s="28">
        <v>45892</v>
      </c>
      <c r="I11" s="29" t="s">
        <v>34</v>
      </c>
      <c r="J11" s="29">
        <v>1</v>
      </c>
      <c r="K11" s="30" t="s">
        <v>35</v>
      </c>
      <c r="M11" s="26" t="str">
        <v>Logan</v>
      </c>
      <c r="N11" s="26">
        <f t="shared" si="0"/>
        <v>102.5</v>
      </c>
      <c r="O11" s="26">
        <f t="shared" si="1"/>
        <v>138.75</v>
      </c>
      <c r="P11" s="66">
        <f t="shared" si="2"/>
        <v>241.25</v>
      </c>
      <c r="Q11" s="66">
        <f ca="1">ROUND($O11/$T$11,2)</f>
        <v>8.75</v>
      </c>
      <c r="R11" s="33">
        <f ca="1">ROUND($P11/($T$5+$T$11),2)</f>
        <v>7.57</v>
      </c>
      <c r="S11" s="11" t="s">
        <v>36</v>
      </c>
      <c r="T11" s="27">
        <f ca="1">ROUND(T10/7,2)</f>
        <v>15.86</v>
      </c>
    </row>
    <row r="12" spans="1:21">
      <c r="B12" s="24">
        <v>45978</v>
      </c>
      <c r="C12" s="25">
        <v>45986</v>
      </c>
      <c r="D12" s="26">
        <v>6</v>
      </c>
      <c r="E12" s="26">
        <v>2</v>
      </c>
      <c r="G12" s="33" cm="1">
        <f t="array" ref="G12">INDEX($D:$D, MATCH(1, (H12 &gt;= $B:$B) * (H12 &lt;= $C:$C), 0))</f>
        <v>0</v>
      </c>
      <c r="H12" s="34">
        <v>45892</v>
      </c>
      <c r="I12" s="35" t="s">
        <v>24</v>
      </c>
      <c r="J12" s="35">
        <v>4</v>
      </c>
      <c r="K12" s="36" t="s">
        <v>37</v>
      </c>
      <c r="M12" s="37" t="s">
        <v>38</v>
      </c>
      <c r="N12" s="37" t="s">
        <v>39</v>
      </c>
      <c r="O12" s="37" t="s">
        <v>40</v>
      </c>
      <c r="P12" s="11" t="s">
        <v>41</v>
      </c>
      <c r="Q12" s="11" t="s">
        <v>42</v>
      </c>
      <c r="R12" s="31" t="s">
        <v>43</v>
      </c>
      <c r="S12" s="11" t="s">
        <v>44</v>
      </c>
      <c r="T12" s="27">
        <v>7</v>
      </c>
    </row>
    <row r="13" spans="1:21">
      <c r="B13" s="24">
        <v>45987</v>
      </c>
      <c r="C13" s="25">
        <v>45991</v>
      </c>
      <c r="D13" s="26" t="s">
        <v>45</v>
      </c>
      <c r="E13" s="26" t="s">
        <v>45</v>
      </c>
      <c r="G13" s="27" cm="1">
        <f t="array" ref="G13">INDEX($D:$D, MATCH(1, (H13 &gt;= $B:$B) * (H13 &lt;= $C:$C), 0))</f>
        <v>0</v>
      </c>
      <c r="H13" s="28">
        <v>45893</v>
      </c>
      <c r="I13" s="29" t="s">
        <v>28</v>
      </c>
      <c r="J13" s="29">
        <v>2</v>
      </c>
      <c r="K13" s="30" t="s">
        <v>46</v>
      </c>
      <c r="M13" s="26" t="s">
        <v>47</v>
      </c>
      <c r="N13" s="26">
        <f>SUM(N$6:N$11)</f>
        <v>804</v>
      </c>
      <c r="O13" s="26">
        <f>SUM(O$6:O$11)</f>
        <v>961</v>
      </c>
      <c r="P13" s="26">
        <f>SUM(P6:P11)</f>
        <v>1765</v>
      </c>
      <c r="Q13" s="26">
        <f>T6*Q15*8</f>
        <v>1536</v>
      </c>
      <c r="R13" s="27">
        <f>P13-Q13</f>
        <v>229</v>
      </c>
      <c r="S13" s="11" t="s">
        <v>48</v>
      </c>
      <c r="T13" s="27">
        <v>7.5</v>
      </c>
    </row>
    <row r="14" spans="1:21">
      <c r="B14" s="24">
        <v>45992</v>
      </c>
      <c r="C14" s="25">
        <v>46005</v>
      </c>
      <c r="D14" s="26">
        <v>7</v>
      </c>
      <c r="E14" s="26">
        <v>2</v>
      </c>
      <c r="G14" s="27" cm="1">
        <f t="array" ref="G14">INDEX($D:$D, MATCH(1, (H14 &gt;= $B:$B) * (H14 &lt;= $C:$C), 0))</f>
        <v>0</v>
      </c>
      <c r="H14" s="28">
        <v>45893</v>
      </c>
      <c r="I14" s="29" t="s">
        <v>26</v>
      </c>
      <c r="J14" s="29">
        <v>2</v>
      </c>
      <c r="K14" s="30" t="s">
        <v>46</v>
      </c>
      <c r="M14" s="26" t="s">
        <v>49</v>
      </c>
      <c r="N14" s="26">
        <f>N$13/24</f>
        <v>33.5</v>
      </c>
      <c r="O14" s="26">
        <f>ROUND(O$13/24,1)</f>
        <v>40</v>
      </c>
      <c r="P14" s="26">
        <f>ROUND(P$13/24,2)</f>
        <v>73.540000000000006</v>
      </c>
      <c r="Q14" s="26">
        <f>Q$13/24</f>
        <v>64</v>
      </c>
      <c r="R14" s="27">
        <f>P14-Q14</f>
        <v>9.5400000000000063</v>
      </c>
      <c r="S14" s="11"/>
      <c r="T14" s="26"/>
    </row>
    <row r="15" spans="1:21">
      <c r="B15" s="24">
        <v>46006</v>
      </c>
      <c r="C15" s="25">
        <v>46012</v>
      </c>
      <c r="D15" s="26" t="s">
        <v>50</v>
      </c>
      <c r="E15" s="26" t="s">
        <v>50</v>
      </c>
      <c r="G15" s="27" cm="1">
        <f t="array" ref="G15">INDEX($D:$D, MATCH(1, (H15 &gt;= $B:$B) * (H15 &lt;= $C:$C), 0))</f>
        <v>0</v>
      </c>
      <c r="H15" s="28">
        <v>45893</v>
      </c>
      <c r="I15" s="29" t="s">
        <v>16</v>
      </c>
      <c r="J15" s="29">
        <v>2</v>
      </c>
      <c r="K15" s="30" t="s">
        <v>46</v>
      </c>
      <c r="M15" s="26" t="s">
        <v>51</v>
      </c>
      <c r="N15" s="26">
        <f>COUNTA($M$6:$M$11)</f>
        <v>6</v>
      </c>
      <c r="O15" s="26">
        <f t="shared" ref="O15" si="5">COUNTA($M$6:$M$11)</f>
        <v>6</v>
      </c>
      <c r="P15" s="26">
        <f>COUNTA($M$6:$M$11)</f>
        <v>6</v>
      </c>
      <c r="Q15" s="26">
        <f>COUNTA($M$6:$M$11)</f>
        <v>6</v>
      </c>
      <c r="R15" s="27" t="s">
        <v>52</v>
      </c>
      <c r="S15" s="73"/>
      <c r="T15" s="74"/>
    </row>
    <row r="16" spans="1:21">
      <c r="B16" s="24">
        <v>46013</v>
      </c>
      <c r="C16" s="25">
        <v>46033</v>
      </c>
      <c r="D16" s="26" t="s">
        <v>53</v>
      </c>
      <c r="E16" s="26" t="s">
        <v>53</v>
      </c>
      <c r="G16" s="33" cm="1">
        <f t="array" ref="G16">INDEX($D:$D, MATCH(1, (H16 &gt;= $B:$B) * (H16 &lt;= $C:$C), 0))</f>
        <v>0</v>
      </c>
      <c r="H16" s="34">
        <v>45893</v>
      </c>
      <c r="I16" s="35" t="s">
        <v>24</v>
      </c>
      <c r="J16" s="35">
        <v>2</v>
      </c>
      <c r="K16" s="36" t="s">
        <v>46</v>
      </c>
      <c r="M16" s="26" t="s">
        <v>54</v>
      </c>
      <c r="N16" s="26">
        <f>ROUND(N$13/(($C$15-$B$5)/7),1)</f>
        <v>46.5</v>
      </c>
      <c r="O16" s="26">
        <f ca="1">ROUND(O$13/$T$11,1)</f>
        <v>60.6</v>
      </c>
      <c r="P16" s="26">
        <f>ROUND(P$13/$T$6,1)</f>
        <v>55.2</v>
      </c>
      <c r="Q16" s="26">
        <f>ROUND(Q$13/T6,1)</f>
        <v>48</v>
      </c>
      <c r="R16" s="39">
        <f>P16-Q16</f>
        <v>7.2000000000000028</v>
      </c>
      <c r="S16" s="73"/>
      <c r="T16" s="74"/>
    </row>
    <row r="17" spans="2:20">
      <c r="B17" s="24">
        <v>46036</v>
      </c>
      <c r="C17" s="25">
        <v>46049</v>
      </c>
      <c r="D17" s="26">
        <v>8</v>
      </c>
      <c r="E17" s="26">
        <v>3</v>
      </c>
      <c r="G17" s="33" cm="1">
        <f t="array" ref="G17">INDEX($D:$D, MATCH(1, (H17 &gt;= $B:$B) * (H17 &lt;= $C:$C), 0))</f>
        <v>0</v>
      </c>
      <c r="H17" s="34">
        <v>45896</v>
      </c>
      <c r="I17" s="35" t="s">
        <v>24</v>
      </c>
      <c r="J17" s="35">
        <v>5</v>
      </c>
      <c r="K17" s="36" t="s">
        <v>55</v>
      </c>
      <c r="M17" s="38" t="s">
        <v>56</v>
      </c>
      <c r="N17" s="26">
        <f>N$13/N$15</f>
        <v>134</v>
      </c>
      <c r="O17" s="26">
        <f>ROUND(O$13/O$15,1)</f>
        <v>160.19999999999999</v>
      </c>
      <c r="P17" s="26">
        <f>ROUND(P$13/P$15,2)</f>
        <v>294.17</v>
      </c>
      <c r="Q17" s="26">
        <f>Q$13/Q$15</f>
        <v>256</v>
      </c>
      <c r="R17" s="27">
        <f>P17-Q17</f>
        <v>38.170000000000016</v>
      </c>
      <c r="S17" s="73"/>
      <c r="T17" s="74"/>
    </row>
    <row r="18" spans="2:20">
      <c r="B18" s="24">
        <v>46050</v>
      </c>
      <c r="C18" s="25">
        <v>46063</v>
      </c>
      <c r="D18" s="26">
        <v>9</v>
      </c>
      <c r="E18" s="26">
        <v>3</v>
      </c>
      <c r="G18" s="27" cm="1">
        <f t="array" ref="G18">INDEX($D:$D, MATCH(1, (H18 &gt;= $B:$B) * (H18 &lt;= $C:$C), 0))</f>
        <v>0</v>
      </c>
      <c r="H18" s="28">
        <v>45897</v>
      </c>
      <c r="I18" s="29" t="s">
        <v>16</v>
      </c>
      <c r="J18" s="29">
        <v>1</v>
      </c>
      <c r="K18" s="30" t="s">
        <v>57</v>
      </c>
      <c r="L18" s="1"/>
      <c r="M18" s="40" t="s">
        <v>58</v>
      </c>
      <c r="N18" s="26">
        <f>ROUND(N$16/N$15,1)</f>
        <v>7.8</v>
      </c>
      <c r="O18" s="26">
        <f ca="1">ROUND(O$16/O$15,1)</f>
        <v>10.1</v>
      </c>
      <c r="P18" s="26">
        <f>ROUND(P$16/P$15,1)</f>
        <v>9.1999999999999993</v>
      </c>
      <c r="Q18" s="26">
        <f>Q$16/Q$15</f>
        <v>8</v>
      </c>
      <c r="R18" s="27">
        <f>P18-Q18</f>
        <v>1.1999999999999993</v>
      </c>
      <c r="S18" s="73"/>
      <c r="T18" s="74"/>
    </row>
    <row r="19" spans="2:20">
      <c r="B19" s="24">
        <v>46064</v>
      </c>
      <c r="C19" s="25">
        <v>46077</v>
      </c>
      <c r="D19" s="26">
        <v>10</v>
      </c>
      <c r="E19" s="26">
        <v>3</v>
      </c>
      <c r="G19" s="27" cm="1">
        <f t="array" ref="G19">INDEX($D:$D, MATCH(1, (H19 &gt;= $B:$B) * (H19 &lt;= $C:$C), 0))</f>
        <v>0</v>
      </c>
      <c r="H19" s="28">
        <v>45897</v>
      </c>
      <c r="I19" s="29" t="s">
        <v>24</v>
      </c>
      <c r="J19" s="29">
        <v>1</v>
      </c>
      <c r="K19" s="30" t="s">
        <v>57</v>
      </c>
      <c r="L19" s="1"/>
      <c r="M19" s="38"/>
      <c r="N19" s="26"/>
      <c r="O19" s="26"/>
      <c r="P19" s="26"/>
      <c r="Q19" s="26"/>
      <c r="R19" s="27"/>
      <c r="S19" s="26"/>
      <c r="T19" s="26"/>
    </row>
    <row r="20" spans="2:20">
      <c r="B20" s="24">
        <v>46078</v>
      </c>
      <c r="C20" s="25">
        <v>46089</v>
      </c>
      <c r="D20" s="26">
        <v>11</v>
      </c>
      <c r="E20" s="26">
        <v>3</v>
      </c>
      <c r="G20" s="27" cm="1">
        <f t="array" ref="G20">INDEX($D:$D, MATCH(1, (H20 &gt;= $B:$B) * (H20 &lt;= $C:$C), 0))</f>
        <v>0</v>
      </c>
      <c r="H20" s="28">
        <v>45897</v>
      </c>
      <c r="I20" s="29" t="s">
        <v>28</v>
      </c>
      <c r="J20" s="29">
        <v>1</v>
      </c>
      <c r="K20" s="30" t="s">
        <v>57</v>
      </c>
      <c r="M20" s="8"/>
      <c r="N20" s="8"/>
      <c r="O20" s="8"/>
      <c r="P20" s="8"/>
      <c r="Q20" s="8"/>
      <c r="R20" s="8"/>
      <c r="S20" s="8"/>
      <c r="T20" s="4"/>
    </row>
    <row r="21" spans="2:20">
      <c r="B21" s="24">
        <v>46090</v>
      </c>
      <c r="C21" s="25">
        <v>46096</v>
      </c>
      <c r="D21" s="26" t="s">
        <v>59</v>
      </c>
      <c r="E21" s="26" t="s">
        <v>59</v>
      </c>
      <c r="G21" s="27" cm="1">
        <f t="array" ref="G21">INDEX($D:$D, MATCH(1, (H21 &gt;= $B:$B) * (H21 &lt;= $C:$C), 0))</f>
        <v>0</v>
      </c>
      <c r="H21" s="28">
        <v>45897</v>
      </c>
      <c r="I21" s="29" t="s">
        <v>26</v>
      </c>
      <c r="J21" s="29">
        <v>1</v>
      </c>
      <c r="K21" s="30" t="s">
        <v>57</v>
      </c>
    </row>
    <row r="22" spans="2:20">
      <c r="B22" s="24">
        <v>46097</v>
      </c>
      <c r="C22" s="25">
        <v>46105</v>
      </c>
      <c r="D22" s="26">
        <v>12</v>
      </c>
      <c r="E22" s="26">
        <v>4</v>
      </c>
      <c r="G22" s="27" cm="1">
        <f t="array" ref="G22">INDEX($D:$D, MATCH(1, (H22 &gt;= $B:$B) * (H22 &lt;= $C:$C), 0))</f>
        <v>0</v>
      </c>
      <c r="H22" s="28">
        <v>45897</v>
      </c>
      <c r="I22" s="29" t="s">
        <v>34</v>
      </c>
      <c r="J22" s="29">
        <v>1</v>
      </c>
      <c r="K22" s="30" t="s">
        <v>57</v>
      </c>
      <c r="M22" s="43" t="s">
        <v>60</v>
      </c>
      <c r="N22" s="43" t="s">
        <v>7</v>
      </c>
      <c r="O22" s="43" t="s">
        <v>61</v>
      </c>
      <c r="P22" s="43" t="s">
        <v>62</v>
      </c>
      <c r="Q22" s="43" t="s">
        <v>63</v>
      </c>
      <c r="R22" s="43" t="s">
        <v>64</v>
      </c>
      <c r="S22" s="43" t="s">
        <v>65</v>
      </c>
      <c r="T22" s="69" t="s">
        <v>66</v>
      </c>
    </row>
    <row r="23" spans="2:20">
      <c r="B23" s="24">
        <v>46106</v>
      </c>
      <c r="C23" s="25">
        <v>46119</v>
      </c>
      <c r="D23" s="26">
        <v>13</v>
      </c>
      <c r="E23" s="26">
        <v>4</v>
      </c>
      <c r="G23" s="33" cm="1">
        <f t="array" ref="G23">INDEX($D:$D, MATCH(1, (H23 &gt;= $B:$B) * (H23 &lt;= $C:$C), 0))</f>
        <v>0</v>
      </c>
      <c r="H23" s="34">
        <v>45897</v>
      </c>
      <c r="I23" s="35" t="s">
        <v>16</v>
      </c>
      <c r="J23" s="35">
        <v>1</v>
      </c>
      <c r="K23" s="36" t="s">
        <v>67</v>
      </c>
      <c r="M23" s="43" t="s">
        <v>68</v>
      </c>
      <c r="N23" s="43" cm="1">
        <f t="array" ref="N23:N44">D5:D26</f>
        <v>0</v>
      </c>
      <c r="O23" s="43">
        <f t="shared" ref="O23:O44" si="6">SUMIF($G$5:$G$1006,$N23,$J$5:$J$1006)</f>
        <v>128</v>
      </c>
      <c r="P23" s="43">
        <f>$C5-$B5</f>
        <v>16</v>
      </c>
      <c r="Q23" s="43">
        <f>ROUND(O23/P23,2)</f>
        <v>8</v>
      </c>
      <c r="R23" s="43">
        <f>ROUND(Q23/6,2)</f>
        <v>1.33</v>
      </c>
      <c r="S23" s="43">
        <f>ROUND(O23/((P23/7)*8*6),2)</f>
        <v>1.17</v>
      </c>
    </row>
    <row r="24" spans="2:20">
      <c r="B24" s="24">
        <v>46120</v>
      </c>
      <c r="C24" s="25">
        <v>46133</v>
      </c>
      <c r="D24" s="26">
        <v>14</v>
      </c>
      <c r="E24" s="26">
        <v>4</v>
      </c>
      <c r="G24" s="27" cm="1">
        <f t="array" ref="G24">INDEX($D:$D, MATCH(1, (H24 &gt;= $B:$B) * (H24 &lt;= $C:$C), 0))</f>
        <v>0</v>
      </c>
      <c r="H24" s="28">
        <v>45898</v>
      </c>
      <c r="I24" s="29" t="s">
        <v>16</v>
      </c>
      <c r="J24" s="29">
        <v>3</v>
      </c>
      <c r="K24" s="30" t="s">
        <v>69</v>
      </c>
      <c r="M24" s="43" t="s">
        <v>70</v>
      </c>
      <c r="N24" s="43">
        <v>1</v>
      </c>
      <c r="O24" s="43">
        <f t="shared" si="6"/>
        <v>87.5</v>
      </c>
      <c r="P24" s="43">
        <f t="shared" ref="P24:P44" si="7">$C6-$B6</f>
        <v>13</v>
      </c>
      <c r="Q24" s="43">
        <f t="shared" ref="Q24:Q44" si="8">ROUND(O24/P24,2)</f>
        <v>6.73</v>
      </c>
      <c r="R24" s="43">
        <f t="shared" ref="R24:R44" si="9">ROUND(Q24/6,2)</f>
        <v>1.1200000000000001</v>
      </c>
      <c r="S24" s="43">
        <f t="shared" ref="S24:S44" si="10">ROUND(O24/((P24/7)*8*6),2)</f>
        <v>0.98</v>
      </c>
    </row>
    <row r="25" spans="2:20">
      <c r="B25" s="24">
        <v>46134</v>
      </c>
      <c r="C25" s="25">
        <v>46145</v>
      </c>
      <c r="D25" s="26">
        <v>15</v>
      </c>
      <c r="E25" s="26">
        <v>4</v>
      </c>
      <c r="G25" s="27" cm="1">
        <f t="array" ref="G25">INDEX($D:$D, MATCH(1, (H25 &gt;= $B:$B) * (H25 &lt;= $C:$C), 0))</f>
        <v>0</v>
      </c>
      <c r="H25" s="28">
        <v>45898</v>
      </c>
      <c r="I25" s="29" t="s">
        <v>24</v>
      </c>
      <c r="J25" s="29">
        <v>3</v>
      </c>
      <c r="K25" s="30" t="s">
        <v>69</v>
      </c>
      <c r="M25" s="43" t="s">
        <v>71</v>
      </c>
      <c r="N25" s="43">
        <v>2</v>
      </c>
      <c r="O25" s="43">
        <f t="shared" si="6"/>
        <v>56</v>
      </c>
      <c r="P25" s="43">
        <f t="shared" si="7"/>
        <v>13</v>
      </c>
      <c r="Q25" s="43">
        <f t="shared" si="8"/>
        <v>4.3099999999999996</v>
      </c>
      <c r="R25" s="43">
        <f t="shared" si="9"/>
        <v>0.72</v>
      </c>
      <c r="S25" s="43">
        <f t="shared" si="10"/>
        <v>0.63</v>
      </c>
    </row>
    <row r="26" spans="2:20">
      <c r="B26" s="44">
        <v>46146</v>
      </c>
      <c r="C26" s="45">
        <v>46152</v>
      </c>
      <c r="D26" s="46" t="s">
        <v>72</v>
      </c>
      <c r="E26" s="46" t="s">
        <v>72</v>
      </c>
      <c r="G26" s="27" cm="1">
        <f t="array" ref="G26">INDEX($D:$D, MATCH(1, (H26 &gt;= $B:$B) * (H26 &lt;= $C:$C), 0))</f>
        <v>0</v>
      </c>
      <c r="H26" s="28">
        <v>45898</v>
      </c>
      <c r="I26" s="29" t="s">
        <v>26</v>
      </c>
      <c r="J26" s="29">
        <v>3</v>
      </c>
      <c r="K26" s="30" t="s">
        <v>69</v>
      </c>
      <c r="M26" s="43" t="s">
        <v>73</v>
      </c>
      <c r="N26" s="43">
        <v>3</v>
      </c>
      <c r="O26" s="43">
        <f t="shared" si="6"/>
        <v>100.5</v>
      </c>
      <c r="P26" s="43">
        <f t="shared" si="7"/>
        <v>11</v>
      </c>
      <c r="Q26" s="43">
        <f t="shared" si="8"/>
        <v>9.14</v>
      </c>
      <c r="R26" s="43">
        <f t="shared" si="9"/>
        <v>1.52</v>
      </c>
      <c r="S26" s="43">
        <f t="shared" si="10"/>
        <v>1.33</v>
      </c>
    </row>
    <row r="27" spans="2:20">
      <c r="B27" s="2"/>
      <c r="C27" s="3"/>
      <c r="D27" s="4"/>
      <c r="E27" s="4"/>
      <c r="G27" s="27" cm="1">
        <f t="array" ref="G27">INDEX($D:$D, MATCH(1, (H27 &gt;= $B:$B) * (H27 &lt;= $C:$C), 0))</f>
        <v>0</v>
      </c>
      <c r="H27" s="28">
        <v>45898</v>
      </c>
      <c r="I27" s="29" t="s">
        <v>28</v>
      </c>
      <c r="J27" s="29">
        <v>3</v>
      </c>
      <c r="K27" s="30" t="s">
        <v>69</v>
      </c>
      <c r="M27" s="43" t="s">
        <v>74</v>
      </c>
      <c r="N27" s="68" t="str">
        <v>FALL RECESS</v>
      </c>
      <c r="O27" s="68">
        <f t="shared" si="6"/>
        <v>3</v>
      </c>
      <c r="P27" s="68">
        <f t="shared" si="7"/>
        <v>3</v>
      </c>
      <c r="Q27" s="68">
        <f t="shared" si="8"/>
        <v>1</v>
      </c>
      <c r="R27" s="68">
        <f t="shared" si="9"/>
        <v>0.17</v>
      </c>
      <c r="S27" s="68">
        <f t="shared" si="10"/>
        <v>0.15</v>
      </c>
    </row>
    <row r="28" spans="2:20">
      <c r="G28" s="27" cm="1">
        <f t="array" ref="G28">INDEX($D:$D, MATCH(1, (H28 &gt;= $B:$B) * (H28 &lt;= $C:$C), 0))</f>
        <v>0</v>
      </c>
      <c r="H28" s="28">
        <v>45898</v>
      </c>
      <c r="I28" s="29" t="s">
        <v>34</v>
      </c>
      <c r="J28" s="29">
        <v>3</v>
      </c>
      <c r="K28" s="30" t="s">
        <v>69</v>
      </c>
      <c r="N28" s="43">
        <v>4</v>
      </c>
      <c r="O28" s="43">
        <f t="shared" si="6"/>
        <v>91.5</v>
      </c>
      <c r="P28" s="43">
        <f t="shared" si="7"/>
        <v>11</v>
      </c>
      <c r="Q28" s="43">
        <f t="shared" si="8"/>
        <v>8.32</v>
      </c>
      <c r="R28" s="43">
        <f t="shared" si="9"/>
        <v>1.39</v>
      </c>
      <c r="S28" s="43">
        <f t="shared" si="10"/>
        <v>1.21</v>
      </c>
    </row>
    <row r="29" spans="2:20">
      <c r="G29" s="33" cm="1">
        <f t="array" ref="G29">INDEX($D:$D, MATCH(1, (H29 &gt;= $B:$B) * (H29 &lt;= $C:$C), 0))</f>
        <v>0</v>
      </c>
      <c r="H29" s="34">
        <v>45898</v>
      </c>
      <c r="I29" s="35" t="s">
        <v>16</v>
      </c>
      <c r="J29" s="35">
        <v>2</v>
      </c>
      <c r="K29" s="36" t="s">
        <v>67</v>
      </c>
      <c r="N29" s="43">
        <v>5</v>
      </c>
      <c r="O29" s="43">
        <f t="shared" si="6"/>
        <v>75</v>
      </c>
      <c r="P29" s="43">
        <f t="shared" si="7"/>
        <v>13</v>
      </c>
      <c r="Q29" s="43">
        <f t="shared" si="8"/>
        <v>5.77</v>
      </c>
      <c r="R29" s="43">
        <f t="shared" si="9"/>
        <v>0.96</v>
      </c>
      <c r="S29" s="43">
        <f t="shared" si="10"/>
        <v>0.84</v>
      </c>
    </row>
    <row r="30" spans="2:20">
      <c r="G30" s="27" cm="1">
        <f t="array" ref="G30">INDEX($D:$D, MATCH(1, (H30 &gt;= $B:$B) * (H30 &lt;= $C:$C), 0))</f>
        <v>0</v>
      </c>
      <c r="H30" s="28">
        <v>45899</v>
      </c>
      <c r="I30" s="29" t="s">
        <v>16</v>
      </c>
      <c r="J30" s="29">
        <v>0.5</v>
      </c>
      <c r="K30" s="30" t="s">
        <v>75</v>
      </c>
      <c r="N30" s="43">
        <v>6</v>
      </c>
      <c r="O30" s="43">
        <f t="shared" si="6"/>
        <v>92</v>
      </c>
      <c r="P30" s="43">
        <f t="shared" si="7"/>
        <v>8</v>
      </c>
      <c r="Q30" s="43">
        <f t="shared" si="8"/>
        <v>11.5</v>
      </c>
      <c r="R30" s="43">
        <f t="shared" si="9"/>
        <v>1.92</v>
      </c>
      <c r="S30" s="43">
        <f t="shared" si="10"/>
        <v>1.68</v>
      </c>
    </row>
    <row r="31" spans="2:20">
      <c r="C31" s="10"/>
      <c r="G31" s="27" cm="1">
        <f t="array" ref="G31">INDEX($D:$D, MATCH(1, (H31 &gt;= $B:$B) * (H31 &lt;= $C:$C), 0))</f>
        <v>0</v>
      </c>
      <c r="H31" s="28">
        <v>45899</v>
      </c>
      <c r="I31" s="29" t="s">
        <v>26</v>
      </c>
      <c r="J31" s="29">
        <v>0.5</v>
      </c>
      <c r="K31" s="30" t="s">
        <v>75</v>
      </c>
      <c r="N31" s="68" t="str">
        <v>THANKSGIVING</v>
      </c>
      <c r="O31" s="68">
        <f t="shared" si="6"/>
        <v>13.5</v>
      </c>
      <c r="P31" s="68">
        <f t="shared" si="7"/>
        <v>4</v>
      </c>
      <c r="Q31" s="68">
        <f t="shared" si="8"/>
        <v>3.38</v>
      </c>
      <c r="R31" s="68">
        <f t="shared" si="9"/>
        <v>0.56000000000000005</v>
      </c>
      <c r="S31" s="68">
        <f t="shared" si="10"/>
        <v>0.49</v>
      </c>
    </row>
    <row r="32" spans="2:20">
      <c r="C32" s="10"/>
      <c r="G32" s="33" cm="1">
        <f t="array" ref="G32">INDEX($D:$D, MATCH(1, (H32 &gt;= $B:$B) * (H32 &lt;= $C:$C), 0))</f>
        <v>0</v>
      </c>
      <c r="H32" s="34">
        <v>45899</v>
      </c>
      <c r="I32" s="35" t="s">
        <v>28</v>
      </c>
      <c r="J32" s="35">
        <v>0.5</v>
      </c>
      <c r="K32" s="36" t="s">
        <v>75</v>
      </c>
      <c r="N32" s="43">
        <v>7</v>
      </c>
      <c r="O32" s="43">
        <f t="shared" si="6"/>
        <v>157</v>
      </c>
      <c r="P32" s="43">
        <f t="shared" si="7"/>
        <v>13</v>
      </c>
      <c r="Q32" s="43">
        <f t="shared" si="8"/>
        <v>12.08</v>
      </c>
      <c r="R32" s="43">
        <f t="shared" si="9"/>
        <v>2.0099999999999998</v>
      </c>
      <c r="S32" s="43">
        <f>ROUND(O32/((P32/7)*8*6),2)</f>
        <v>1.76</v>
      </c>
    </row>
    <row r="33" spans="7:19">
      <c r="G33" s="33" cm="1">
        <f t="array" ref="G33">INDEX($D:$D, MATCH(1, (H33 &gt;= $B:$B) * (H33 &lt;= $C:$C), 0))</f>
        <v>0</v>
      </c>
      <c r="H33" s="34">
        <v>45902</v>
      </c>
      <c r="I33" s="35" t="s">
        <v>24</v>
      </c>
      <c r="J33" s="35">
        <v>10</v>
      </c>
      <c r="K33" s="36" t="s">
        <v>76</v>
      </c>
      <c r="N33" s="68" t="str">
        <v>FALL FINALS</v>
      </c>
      <c r="O33" s="68">
        <f t="shared" si="6"/>
        <v>0</v>
      </c>
      <c r="P33" s="68">
        <f t="shared" si="7"/>
        <v>6</v>
      </c>
      <c r="Q33" s="68">
        <f t="shared" si="8"/>
        <v>0</v>
      </c>
      <c r="R33" s="68">
        <f t="shared" si="9"/>
        <v>0</v>
      </c>
      <c r="S33" s="68">
        <f t="shared" si="10"/>
        <v>0</v>
      </c>
    </row>
    <row r="34" spans="7:19">
      <c r="G34" s="27" cm="1">
        <f t="array" ref="G34">INDEX($D:$D, MATCH(1, (H34 &gt;= $B:$B) * (H34 &lt;= $C:$C), 0))</f>
        <v>0</v>
      </c>
      <c r="H34" s="28">
        <v>45903</v>
      </c>
      <c r="I34" s="29" t="s">
        <v>16</v>
      </c>
      <c r="J34" s="29">
        <v>1</v>
      </c>
      <c r="K34" s="30" t="s">
        <v>77</v>
      </c>
      <c r="N34" s="68" t="str">
        <v>WINTER BREAK</v>
      </c>
      <c r="O34" s="68">
        <f t="shared" si="6"/>
        <v>9</v>
      </c>
      <c r="P34" s="68">
        <f t="shared" si="7"/>
        <v>20</v>
      </c>
      <c r="Q34" s="68">
        <f t="shared" si="8"/>
        <v>0.45</v>
      </c>
      <c r="R34" s="68">
        <f t="shared" si="9"/>
        <v>0.08</v>
      </c>
      <c r="S34" s="68">
        <f t="shared" si="10"/>
        <v>7.0000000000000007E-2</v>
      </c>
    </row>
    <row r="35" spans="7:19">
      <c r="G35" s="27" cm="1">
        <f t="array" ref="G35">INDEX($D:$D, MATCH(1, (H35 &gt;= $B:$B) * (H35 &lt;= $C:$C), 0))</f>
        <v>0</v>
      </c>
      <c r="H35" s="28">
        <v>45903</v>
      </c>
      <c r="I35" s="29" t="s">
        <v>24</v>
      </c>
      <c r="J35" s="29">
        <v>1</v>
      </c>
      <c r="K35" s="30" t="s">
        <v>77</v>
      </c>
      <c r="N35" s="43">
        <v>8</v>
      </c>
      <c r="O35" s="43">
        <f t="shared" si="6"/>
        <v>95.25</v>
      </c>
      <c r="P35" s="43">
        <f t="shared" si="7"/>
        <v>13</v>
      </c>
      <c r="Q35" s="43">
        <f t="shared" si="8"/>
        <v>7.33</v>
      </c>
      <c r="R35" s="43">
        <f t="shared" si="9"/>
        <v>1.22</v>
      </c>
      <c r="S35" s="43">
        <f t="shared" si="10"/>
        <v>1.07</v>
      </c>
    </row>
    <row r="36" spans="7:19">
      <c r="G36" s="27" cm="1">
        <f t="array" ref="G36">INDEX($D:$D, MATCH(1, (H36 &gt;= $B:$B) * (H36 &lt;= $C:$C), 0))</f>
        <v>0</v>
      </c>
      <c r="H36" s="28">
        <v>45903</v>
      </c>
      <c r="I36" s="29" t="s">
        <v>28</v>
      </c>
      <c r="J36" s="29">
        <v>1</v>
      </c>
      <c r="K36" s="30" t="s">
        <v>77</v>
      </c>
      <c r="N36" s="43">
        <v>9</v>
      </c>
      <c r="O36" s="43">
        <f t="shared" si="6"/>
        <v>113.75</v>
      </c>
      <c r="P36" s="43">
        <f t="shared" si="7"/>
        <v>13</v>
      </c>
      <c r="Q36" s="43">
        <f t="shared" si="8"/>
        <v>8.75</v>
      </c>
      <c r="R36" s="43">
        <f t="shared" si="9"/>
        <v>1.46</v>
      </c>
      <c r="S36" s="43">
        <f t="shared" si="10"/>
        <v>1.28</v>
      </c>
    </row>
    <row r="37" spans="7:19">
      <c r="G37" s="27" cm="1">
        <f t="array" ref="G37">INDEX($D:$D, MATCH(1, (H37 &gt;= $B:$B) * (H37 &lt;= $C:$C), 0))</f>
        <v>0</v>
      </c>
      <c r="H37" s="28">
        <v>45903</v>
      </c>
      <c r="I37" s="29" t="s">
        <v>26</v>
      </c>
      <c r="J37" s="29">
        <v>1</v>
      </c>
      <c r="K37" s="30" t="s">
        <v>77</v>
      </c>
      <c r="N37" s="43">
        <v>10</v>
      </c>
      <c r="O37" s="43">
        <f t="shared" si="6"/>
        <v>101</v>
      </c>
      <c r="P37" s="43">
        <f t="shared" si="7"/>
        <v>13</v>
      </c>
      <c r="Q37" s="43">
        <f t="shared" si="8"/>
        <v>7.77</v>
      </c>
      <c r="R37" s="43">
        <f>ROUND(Q37/6,2)</f>
        <v>1.3</v>
      </c>
      <c r="S37" s="43">
        <f t="shared" si="10"/>
        <v>1.1299999999999999</v>
      </c>
    </row>
    <row r="38" spans="7:19">
      <c r="G38" s="27" cm="1">
        <f t="array" ref="G38">INDEX($D:$D, MATCH(1, (H38 &gt;= $B:$B) * (H38 &lt;= $C:$C), 0))</f>
        <v>0</v>
      </c>
      <c r="H38" s="28">
        <v>45903</v>
      </c>
      <c r="I38" s="29" t="s">
        <v>34</v>
      </c>
      <c r="J38" s="29">
        <v>1</v>
      </c>
      <c r="K38" s="30" t="s">
        <v>77</v>
      </c>
      <c r="N38" s="43">
        <v>11</v>
      </c>
      <c r="O38" s="43">
        <f t="shared" si="6"/>
        <v>58.75</v>
      </c>
      <c r="P38" s="43">
        <f t="shared" si="7"/>
        <v>11</v>
      </c>
      <c r="Q38" s="43">
        <f t="shared" si="8"/>
        <v>5.34</v>
      </c>
      <c r="R38" s="43">
        <f t="shared" si="9"/>
        <v>0.89</v>
      </c>
      <c r="S38" s="43">
        <f t="shared" si="10"/>
        <v>0.78</v>
      </c>
    </row>
    <row r="39" spans="7:19">
      <c r="G39" s="27" cm="1">
        <f t="array" ref="G39">INDEX($D:$D, MATCH(1, (H39 &gt;= $B:$B) * (H39 &lt;= $C:$C), 0))</f>
        <v>0</v>
      </c>
      <c r="H39" s="28">
        <v>45903</v>
      </c>
      <c r="I39" s="29" t="s">
        <v>78</v>
      </c>
      <c r="J39" s="29">
        <v>1</v>
      </c>
      <c r="K39" s="30" t="s">
        <v>77</v>
      </c>
      <c r="N39" s="68" t="str">
        <v>SPRING RECESS</v>
      </c>
      <c r="O39" s="68">
        <f t="shared" si="6"/>
        <v>35.75</v>
      </c>
      <c r="P39" s="68">
        <f t="shared" si="7"/>
        <v>6</v>
      </c>
      <c r="Q39" s="68">
        <f t="shared" si="8"/>
        <v>5.96</v>
      </c>
      <c r="R39" s="68">
        <f t="shared" si="9"/>
        <v>0.99</v>
      </c>
      <c r="S39" s="68">
        <f t="shared" si="10"/>
        <v>0.87</v>
      </c>
    </row>
    <row r="40" spans="7:19">
      <c r="G40" s="27" cm="1">
        <f t="array" ref="G40">INDEX($D:$D, MATCH(1, (H40 &gt;= $B:$B) * (H40 &lt;= $C:$C), 0))</f>
        <v>0</v>
      </c>
      <c r="H40" s="28">
        <v>45903</v>
      </c>
      <c r="I40" s="29" t="s">
        <v>28</v>
      </c>
      <c r="J40" s="29">
        <v>2</v>
      </c>
      <c r="K40" s="30" t="s">
        <v>79</v>
      </c>
      <c r="N40" s="43">
        <v>12</v>
      </c>
      <c r="O40" s="43">
        <f t="shared" si="6"/>
        <v>104.5</v>
      </c>
      <c r="P40" s="43">
        <f t="shared" si="7"/>
        <v>8</v>
      </c>
      <c r="Q40" s="43">
        <f t="shared" si="8"/>
        <v>13.06</v>
      </c>
      <c r="R40" s="43">
        <f t="shared" si="9"/>
        <v>2.1800000000000002</v>
      </c>
      <c r="S40" s="43">
        <f t="shared" si="10"/>
        <v>1.9</v>
      </c>
    </row>
    <row r="41" spans="7:19">
      <c r="G41" s="33" cm="1">
        <f t="array" ref="G41">INDEX($D:$D, MATCH(1, (H41 &gt;= $B:$B) * (H41 &lt;= $C:$C), 0))</f>
        <v>0</v>
      </c>
      <c r="H41" s="34">
        <v>45903</v>
      </c>
      <c r="I41" s="35" t="s">
        <v>26</v>
      </c>
      <c r="J41" s="35">
        <v>2</v>
      </c>
      <c r="K41" s="36" t="s">
        <v>79</v>
      </c>
      <c r="N41" s="43">
        <v>13</v>
      </c>
      <c r="O41" s="43">
        <f t="shared" si="6"/>
        <v>92.25</v>
      </c>
      <c r="P41" s="43">
        <f t="shared" si="7"/>
        <v>13</v>
      </c>
      <c r="Q41" s="43">
        <f>ROUND(O41/P41,2)</f>
        <v>7.1</v>
      </c>
      <c r="R41" s="43">
        <f t="shared" si="9"/>
        <v>1.18</v>
      </c>
      <c r="S41" s="43">
        <f t="shared" si="10"/>
        <v>1.03</v>
      </c>
    </row>
    <row r="42" spans="7:19">
      <c r="G42" s="27" cm="1">
        <f t="array" ref="G42">INDEX($D:$D, MATCH(1, (H42 &gt;= $B:$B) * (H42 &lt;= $C:$C), 0))</f>
        <v>0</v>
      </c>
      <c r="H42" s="28">
        <v>45905</v>
      </c>
      <c r="I42" s="29" t="s">
        <v>16</v>
      </c>
      <c r="J42" s="29">
        <v>2</v>
      </c>
      <c r="K42" s="30" t="s">
        <v>80</v>
      </c>
      <c r="N42" s="43">
        <v>14</v>
      </c>
      <c r="O42" s="43">
        <f t="shared" si="6"/>
        <v>177.75</v>
      </c>
      <c r="P42" s="43">
        <f>$C24-$B24</f>
        <v>13</v>
      </c>
      <c r="Q42" s="43">
        <f t="shared" si="8"/>
        <v>13.67</v>
      </c>
      <c r="R42" s="43">
        <f t="shared" si="9"/>
        <v>2.2799999999999998</v>
      </c>
      <c r="S42" s="43">
        <f t="shared" si="10"/>
        <v>1.99</v>
      </c>
    </row>
    <row r="43" spans="7:19">
      <c r="G43" s="27" cm="1">
        <f t="array" ref="G43">INDEX($D:$D, MATCH(1, (H43 &gt;= $B:$B) * (H43 &lt;= $C:$C), 0))</f>
        <v>0</v>
      </c>
      <c r="H43" s="28">
        <v>45905</v>
      </c>
      <c r="I43" s="29" t="s">
        <v>16</v>
      </c>
      <c r="J43" s="29">
        <v>2.5</v>
      </c>
      <c r="K43" s="30" t="s">
        <v>81</v>
      </c>
      <c r="N43" s="43">
        <v>15</v>
      </c>
      <c r="O43" s="43">
        <f t="shared" si="6"/>
        <v>153.5</v>
      </c>
      <c r="P43" s="43">
        <f t="shared" si="7"/>
        <v>11</v>
      </c>
      <c r="Q43" s="43">
        <f t="shared" si="8"/>
        <v>13.95</v>
      </c>
      <c r="R43" s="43">
        <f t="shared" si="9"/>
        <v>2.33</v>
      </c>
      <c r="S43" s="43">
        <f>ROUND(O43/((P43/7)*8*6),2)</f>
        <v>2.04</v>
      </c>
    </row>
    <row r="44" spans="7:19">
      <c r="G44" s="27" cm="1">
        <f t="array" ref="G44">INDEX($D:$D, MATCH(1, (H44 &gt;= $B:$B) * (H44 &lt;= $C:$C), 0))</f>
        <v>0</v>
      </c>
      <c r="H44" s="28">
        <v>45905</v>
      </c>
      <c r="I44" s="29" t="s">
        <v>24</v>
      </c>
      <c r="J44" s="29">
        <v>2.5</v>
      </c>
      <c r="K44" s="30" t="s">
        <v>81</v>
      </c>
      <c r="N44" s="68" t="str">
        <v>SPRING FINALS</v>
      </c>
      <c r="O44" s="68">
        <f t="shared" si="6"/>
        <v>6</v>
      </c>
      <c r="P44" s="68">
        <f t="shared" si="7"/>
        <v>6</v>
      </c>
      <c r="Q44" s="68">
        <f t="shared" si="8"/>
        <v>1</v>
      </c>
      <c r="R44" s="68">
        <f t="shared" si="9"/>
        <v>0.17</v>
      </c>
      <c r="S44" s="68">
        <f t="shared" si="10"/>
        <v>0.15</v>
      </c>
    </row>
    <row r="45" spans="7:19">
      <c r="G45" s="27" cm="1">
        <f t="array" ref="G45">INDEX($D:$D, MATCH(1, (H45 &gt;= $B:$B) * (H45 &lt;= $C:$C), 0))</f>
        <v>0</v>
      </c>
      <c r="H45" s="28">
        <v>45905</v>
      </c>
      <c r="I45" s="29" t="s">
        <v>28</v>
      </c>
      <c r="J45" s="29">
        <v>2.5</v>
      </c>
      <c r="K45" s="30" t="s">
        <v>81</v>
      </c>
    </row>
    <row r="46" spans="7:19">
      <c r="G46" s="27" cm="1">
        <f t="array" ref="G46">INDEX($D:$D, MATCH(1, (H46 &gt;= $B:$B) * (H46 &lt;= $C:$C), 0))</f>
        <v>0</v>
      </c>
      <c r="H46" s="28">
        <v>45905</v>
      </c>
      <c r="I46" s="29" t="s">
        <v>26</v>
      </c>
      <c r="J46" s="29">
        <v>2.5</v>
      </c>
      <c r="K46" s="30" t="s">
        <v>81</v>
      </c>
      <c r="O46" s="43">
        <f>SUM(O23:O44)</f>
        <v>1751.5</v>
      </c>
      <c r="R46" s="43" t="s">
        <v>82</v>
      </c>
      <c r="S46" s="43">
        <f>MAX(S23:S44)</f>
        <v>2.04</v>
      </c>
    </row>
    <row r="47" spans="7:19">
      <c r="G47" s="27" cm="1">
        <f t="array" ref="G47">INDEX($D:$D, MATCH(1, (H47 &gt;= $B:$B) * (H47 &lt;= $C:$C), 0))</f>
        <v>0</v>
      </c>
      <c r="H47" s="28">
        <v>45905</v>
      </c>
      <c r="I47" s="29" t="s">
        <v>34</v>
      </c>
      <c r="J47" s="29">
        <v>2.5</v>
      </c>
      <c r="K47" s="30" t="s">
        <v>81</v>
      </c>
      <c r="R47" s="43" t="s">
        <v>83</v>
      </c>
      <c r="S47" s="43" cm="1">
        <f t="array" ref="S47">AVERAGE(_xlfn._xlws.FILTER(S23:S44,(S23:S44&gt;0.6)))</f>
        <v>1.275882352941176</v>
      </c>
    </row>
    <row r="48" spans="7:19">
      <c r="G48" s="33" cm="1">
        <f t="array" ref="G48">INDEX($D:$D, MATCH(1, (H48 &gt;= $B:$B) * (H48 &lt;= $C:$C), 0))</f>
        <v>0</v>
      </c>
      <c r="H48" s="34">
        <v>45905</v>
      </c>
      <c r="I48" s="35" t="s">
        <v>78</v>
      </c>
      <c r="J48" s="35">
        <v>2.5</v>
      </c>
      <c r="K48" s="36" t="s">
        <v>81</v>
      </c>
    </row>
    <row r="49" spans="7:20">
      <c r="G49" s="27" cm="1">
        <f t="array" ref="G49">INDEX($D:$D, MATCH(1, (H49 &gt;= $B:$B) * (H49 &lt;= $C:$C), 0))</f>
        <v>0</v>
      </c>
      <c r="H49" s="28">
        <v>45906</v>
      </c>
      <c r="I49" s="29" t="s">
        <v>16</v>
      </c>
      <c r="J49" s="29">
        <v>2</v>
      </c>
      <c r="K49" s="30" t="s">
        <v>84</v>
      </c>
    </row>
    <row r="50" spans="7:20">
      <c r="G50" s="27" cm="1">
        <f t="array" ref="G50">INDEX($D:$D, MATCH(1, (H50 &gt;= $B:$B) * (H50 &lt;= $C:$C), 0))</f>
        <v>0</v>
      </c>
      <c r="H50" s="28">
        <v>45906</v>
      </c>
      <c r="I50" s="29" t="s">
        <v>34</v>
      </c>
      <c r="J50" s="29">
        <v>4</v>
      </c>
      <c r="K50" s="30" t="s">
        <v>85</v>
      </c>
    </row>
    <row r="51" spans="7:20">
      <c r="G51" s="27" cm="1">
        <f t="array" ref="G51">INDEX($D:$D, MATCH(1, (H51 &gt;= $B:$B) * (H51 &lt;= $C:$C), 0))</f>
        <v>0</v>
      </c>
      <c r="H51" s="28">
        <v>45906</v>
      </c>
      <c r="I51" s="29" t="s">
        <v>16</v>
      </c>
      <c r="J51" s="29">
        <v>1.5</v>
      </c>
      <c r="K51" s="30" t="s">
        <v>86</v>
      </c>
      <c r="N51" s="72" t="s">
        <v>87</v>
      </c>
    </row>
    <row r="52" spans="7:20">
      <c r="G52" s="27" cm="1">
        <f t="array" ref="G52">INDEX($D:$D, MATCH(1, (H52 &gt;= $B:$B) * (H52 &lt;= $C:$C), 0))</f>
        <v>0</v>
      </c>
      <c r="H52" s="28">
        <v>45906</v>
      </c>
      <c r="I52" s="29" t="s">
        <v>28</v>
      </c>
      <c r="J52" s="29">
        <v>1.5</v>
      </c>
      <c r="K52" s="30" t="s">
        <v>86</v>
      </c>
    </row>
    <row r="53" spans="7:20">
      <c r="G53" s="27" cm="1">
        <f t="array" ref="G53">INDEX($D:$D, MATCH(1, (H53 &gt;= $B:$B) * (H53 &lt;= $C:$C), 0))</f>
        <v>0</v>
      </c>
      <c r="H53" s="28">
        <v>45906</v>
      </c>
      <c r="I53" s="29" t="s">
        <v>26</v>
      </c>
      <c r="J53" s="29">
        <v>1.5</v>
      </c>
      <c r="K53" s="30" t="s">
        <v>86</v>
      </c>
      <c r="M53" s="43" t="str">
        <f>_xlfn.CONCAT("N = ",COUNTA(K5:K1000))</f>
        <v>N = 838</v>
      </c>
      <c r="N53" s="43" t="s">
        <v>88</v>
      </c>
      <c r="O53" s="43" t="str">
        <f>_xlfn.CONCAT("|V| = ",COUNTA(O55:O1000))</f>
        <v>|V| = 768</v>
      </c>
      <c r="Q53" s="71" t="s">
        <v>89</v>
      </c>
      <c r="S53" s="43" t="s">
        <v>90</v>
      </c>
      <c r="T53" s="43"/>
    </row>
    <row r="54" spans="7:20">
      <c r="G54" s="27" cm="1">
        <f t="array" ref="G54">INDEX($D:$D, MATCH(1, (H54 &gt;= $B:$B) * (H54 &lt;= $C:$C), 0))</f>
        <v>0</v>
      </c>
      <c r="H54" s="28">
        <v>45906</v>
      </c>
      <c r="I54" s="29" t="s">
        <v>34</v>
      </c>
      <c r="J54" s="29">
        <v>1.5</v>
      </c>
      <c r="K54" s="30" t="s">
        <v>86</v>
      </c>
      <c r="M54" s="70" t="s">
        <v>91</v>
      </c>
      <c r="N54" s="70" t="s">
        <v>92</v>
      </c>
      <c r="O54" s="70" t="s">
        <v>93</v>
      </c>
      <c r="P54" s="70" t="s">
        <v>94</v>
      </c>
      <c r="Q54" s="70" t="s">
        <v>95</v>
      </c>
      <c r="R54" s="70" t="s">
        <v>94</v>
      </c>
      <c r="S54" s="70" t="s">
        <v>96</v>
      </c>
      <c r="T54" s="70" t="s">
        <v>97</v>
      </c>
    </row>
    <row r="55" spans="7:20">
      <c r="G55" s="27" cm="1">
        <f t="array" ref="G55">INDEX($D:$D, MATCH(1, (H55 &gt;= $B:$B) * (H55 &lt;= $C:$C), 0))</f>
        <v>0</v>
      </c>
      <c r="H55" s="28">
        <v>45906</v>
      </c>
      <c r="I55" s="29" t="s">
        <v>78</v>
      </c>
      <c r="J55" s="29">
        <v>1.5</v>
      </c>
      <c r="K55" s="30" t="s">
        <v>86</v>
      </c>
      <c r="M55" s="43" t="str" cm="1">
        <f t="array" ref="M55:M953">_xlfn.UNIQUE(_xlfn.TOCOL(_xlfn.TEXTSPLIT(_xlfn.TEXTJOIN(" ", TRUE, K5:K1000), " "), 3))</f>
        <v>Course</v>
      </c>
      <c r="N55" s="43" t="str">
        <f>_xlfn.CONCAT("*",TRIM(CLEAN(_xlfn.REGEXREPLACE(LOWER($M55),$N$51,""))),"*")</f>
        <v>*course*</v>
      </c>
      <c r="O55" s="43" t="str" cm="1">
        <f t="array" ref="O55:O822">_xlfn.UNIQUE(N55:N1000)</f>
        <v>*course*</v>
      </c>
      <c r="P55" s="43">
        <f>COUNTIF($K$5:$K$1000,$O55)</f>
        <v>4</v>
      </c>
      <c r="Q55" s="43" t="str" cm="1">
        <f t="array" ref="Q55:Q977">_xlfn.SORTBY($O$55:$O$977,$P$55:$P$977,-1)</f>
        <v>**</v>
      </c>
      <c r="R55" s="43" cm="1">
        <f t="array" ref="R55:R977">_xlfn._xlws.SORT($P$55:$P$977,1,-1)</f>
        <v>838</v>
      </c>
      <c r="S55" s="43">
        <f>ROUND(LOG(COUNTA($M$54:$M$1000)/R55,10),2)</f>
        <v>0.03</v>
      </c>
      <c r="T55" s="43" t="s">
        <v>52</v>
      </c>
    </row>
    <row r="56" spans="7:20">
      <c r="G56" s="33" cm="1">
        <f t="array" ref="G56">INDEX($D:$D, MATCH(1, (H56 &gt;= $B:$B) * (H56 &lt;= $C:$C), 0))</f>
        <v>0</v>
      </c>
      <c r="H56" s="34">
        <v>45906</v>
      </c>
      <c r="I56" s="35" t="s">
        <v>24</v>
      </c>
      <c r="J56" s="35">
        <v>1.5</v>
      </c>
      <c r="K56" s="36" t="s">
        <v>86</v>
      </c>
      <c r="M56" s="43" t="str">
        <v>Kickoff</v>
      </c>
      <c r="N56" s="43" t="str">
        <f t="shared" ref="N56:N119" si="11">_xlfn.CONCAT("*",TRIM(CLEAN(_xlfn.REGEXREPLACE(LOWER($M56),$N$51,""))),"*")</f>
        <v>*kickoff*</v>
      </c>
      <c r="O56" s="43" t="str">
        <v>*kickoff*</v>
      </c>
      <c r="P56" s="43">
        <f t="shared" ref="P56:P119" si="12">COUNTIF($K$5:$K$1000,$O56)</f>
        <v>4</v>
      </c>
      <c r="Q56" s="71" t="str">
        <v>*i*</v>
      </c>
      <c r="R56" s="43">
        <v>647</v>
      </c>
      <c r="S56" s="43">
        <f t="shared" ref="S56:S119" si="13">ROUND(LOG(COUNTA($M$54:$M$1000)/R56,10),2)</f>
        <v>0.14000000000000001</v>
      </c>
      <c r="T56" s="43">
        <f>ROUND($S56/$S55,2)</f>
        <v>4.67</v>
      </c>
    </row>
    <row r="57" spans="7:20">
      <c r="G57" s="27" cm="1">
        <f t="array" ref="G57">INDEX($D:$D, MATCH(1, (H57 &gt;= $B:$B) * (H57 &lt;= $C:$C), 0))</f>
        <v>0</v>
      </c>
      <c r="H57" s="28">
        <v>45907</v>
      </c>
      <c r="I57" s="29" t="s">
        <v>26</v>
      </c>
      <c r="J57" s="29">
        <v>2</v>
      </c>
      <c r="K57" s="30" t="s">
        <v>98</v>
      </c>
      <c r="M57" s="43" t="str">
        <v>and</v>
      </c>
      <c r="N57" s="43" t="str">
        <f t="shared" si="11"/>
        <v>*and*</v>
      </c>
      <c r="O57" s="43" t="str">
        <v>*and*</v>
      </c>
      <c r="P57" s="43">
        <f t="shared" si="12"/>
        <v>181</v>
      </c>
      <c r="Q57" s="71" t="str">
        <v>*a*</v>
      </c>
      <c r="R57" s="43">
        <v>572</v>
      </c>
      <c r="S57" s="43">
        <f t="shared" si="13"/>
        <v>0.2</v>
      </c>
      <c r="T57" s="43">
        <f t="shared" ref="T57:T120" si="14">ROUND($S57/$S56,2)</f>
        <v>1.43</v>
      </c>
    </row>
    <row r="58" spans="7:20">
      <c r="G58" s="27" cm="1">
        <f t="array" ref="G58">INDEX($D:$D, MATCH(1, (H58 &gt;= $B:$B) * (H58 &lt;= $C:$C), 0))</f>
        <v>0</v>
      </c>
      <c r="H58" s="28">
        <v>45907</v>
      </c>
      <c r="I58" s="29" t="s">
        <v>28</v>
      </c>
      <c r="J58" s="29">
        <v>2</v>
      </c>
      <c r="K58" s="30" t="s">
        <v>99</v>
      </c>
      <c r="M58" s="43" t="str">
        <v>Project</v>
      </c>
      <c r="N58" s="43" t="str">
        <f t="shared" si="11"/>
        <v>*project*</v>
      </c>
      <c r="O58" s="43" t="str">
        <v>*project*</v>
      </c>
      <c r="P58" s="43">
        <f t="shared" si="12"/>
        <v>24</v>
      </c>
      <c r="Q58" s="71" t="str">
        <v>*in*</v>
      </c>
      <c r="R58" s="43">
        <v>464</v>
      </c>
      <c r="S58" s="43">
        <f t="shared" si="13"/>
        <v>0.28999999999999998</v>
      </c>
      <c r="T58" s="43">
        <f t="shared" si="14"/>
        <v>1.45</v>
      </c>
    </row>
    <row r="59" spans="7:20">
      <c r="G59" s="27" cm="1">
        <f t="array" ref="G59">INDEX($D:$D, MATCH(1, (H59 &gt;= $B:$B) * (H59 &lt;= $C:$C), 0))</f>
        <v>0</v>
      </c>
      <c r="H59" s="28">
        <v>45907</v>
      </c>
      <c r="I59" s="29" t="s">
        <v>16</v>
      </c>
      <c r="J59" s="29">
        <v>2</v>
      </c>
      <c r="K59" s="30" t="s">
        <v>100</v>
      </c>
      <c r="M59" s="43" t="str">
        <v>Selection</v>
      </c>
      <c r="N59" s="43" t="str">
        <f t="shared" si="11"/>
        <v>*selec*</v>
      </c>
      <c r="O59" s="43" t="str">
        <v>*selec*</v>
      </c>
      <c r="P59" s="43">
        <f t="shared" si="12"/>
        <v>5</v>
      </c>
      <c r="Q59" s="71" t="str">
        <v>*on*</v>
      </c>
      <c r="R59" s="43">
        <v>312</v>
      </c>
      <c r="S59" s="43">
        <f t="shared" si="13"/>
        <v>0.46</v>
      </c>
      <c r="T59" s="43">
        <f t="shared" si="14"/>
        <v>1.59</v>
      </c>
    </row>
    <row r="60" spans="7:20">
      <c r="G60" s="27" cm="1">
        <f t="array" ref="G60">INDEX($D:$D, MATCH(1, (H60 &gt;= $B:$B) * (H60 &lt;= $C:$C), 0))</f>
        <v>0</v>
      </c>
      <c r="H60" s="28">
        <v>45907</v>
      </c>
      <c r="I60" s="29" t="s">
        <v>16</v>
      </c>
      <c r="J60" s="29">
        <v>1.5</v>
      </c>
      <c r="K60" s="30" t="s">
        <v>86</v>
      </c>
      <c r="M60" s="43" t="str">
        <v>Interview</v>
      </c>
      <c r="N60" s="43" t="str">
        <f t="shared" si="11"/>
        <v>*interview*</v>
      </c>
      <c r="O60" s="43" t="str">
        <v>*interview*</v>
      </c>
      <c r="P60" s="43">
        <f t="shared" si="12"/>
        <v>3</v>
      </c>
      <c r="Q60" s="71" t="str">
        <v>*an*</v>
      </c>
      <c r="R60" s="43">
        <v>299</v>
      </c>
      <c r="S60" s="43">
        <f t="shared" si="13"/>
        <v>0.48</v>
      </c>
      <c r="T60" s="43">
        <f t="shared" si="14"/>
        <v>1.04</v>
      </c>
    </row>
    <row r="61" spans="7:20">
      <c r="G61" s="27" cm="1">
        <f t="array" ref="G61">INDEX($D:$D, MATCH(1, (H61 &gt;= $B:$B) * (H61 &lt;= $C:$C), 0))</f>
        <v>0</v>
      </c>
      <c r="H61" s="28">
        <v>45907</v>
      </c>
      <c r="I61" s="29" t="s">
        <v>28</v>
      </c>
      <c r="J61" s="29">
        <v>1.5</v>
      </c>
      <c r="K61" s="30" t="s">
        <v>86</v>
      </c>
      <c r="M61" s="43" t="str">
        <v>PM</v>
      </c>
      <c r="N61" s="43" t="str">
        <f t="shared" si="11"/>
        <v>*pm*</v>
      </c>
      <c r="O61" s="43" t="str">
        <v>*pm*</v>
      </c>
      <c r="P61" s="43">
        <f t="shared" si="12"/>
        <v>3</v>
      </c>
      <c r="Q61" s="71" t="str">
        <v>*me*</v>
      </c>
      <c r="R61" s="43">
        <v>221</v>
      </c>
      <c r="S61" s="43">
        <f t="shared" si="13"/>
        <v>0.61</v>
      </c>
      <c r="T61" s="43">
        <f t="shared" si="14"/>
        <v>1.27</v>
      </c>
    </row>
    <row r="62" spans="7:20">
      <c r="G62" s="27" cm="1">
        <f t="array" ref="G62">INDEX($D:$D, MATCH(1, (H62 &gt;= $B:$B) * (H62 &lt;= $C:$C), 0))</f>
        <v>0</v>
      </c>
      <c r="H62" s="28">
        <v>45907</v>
      </c>
      <c r="I62" s="29" t="s">
        <v>26</v>
      </c>
      <c r="J62" s="29">
        <v>1.5</v>
      </c>
      <c r="K62" s="30" t="s">
        <v>86</v>
      </c>
      <c r="M62" s="43" t="str">
        <v>setup</v>
      </c>
      <c r="N62" s="43" t="str">
        <f t="shared" si="11"/>
        <v>*setup*</v>
      </c>
      <c r="O62" s="43" t="str">
        <v>*setup*</v>
      </c>
      <c r="P62" s="43">
        <f t="shared" si="12"/>
        <v>6</v>
      </c>
      <c r="Q62" s="71" t="str">
        <v>*and*</v>
      </c>
      <c r="R62" s="43">
        <v>181</v>
      </c>
      <c r="S62" s="43">
        <f t="shared" si="13"/>
        <v>0.7</v>
      </c>
      <c r="T62" s="43">
        <f t="shared" si="14"/>
        <v>1.1499999999999999</v>
      </c>
    </row>
    <row r="63" spans="7:20">
      <c r="G63" s="27" cm="1">
        <f t="array" ref="G63">INDEX($D:$D, MATCH(1, (H63 &gt;= $B:$B) * (H63 &lt;= $C:$C), 0))</f>
        <v>0</v>
      </c>
      <c r="H63" s="28">
        <v>45907</v>
      </c>
      <c r="I63" s="29" t="s">
        <v>34</v>
      </c>
      <c r="J63" s="29">
        <v>1.5</v>
      </c>
      <c r="K63" s="30" t="s">
        <v>86</v>
      </c>
      <c r="M63" s="43" t="str">
        <v>Jira</v>
      </c>
      <c r="N63" s="43" t="str">
        <f t="shared" si="11"/>
        <v>*jira*</v>
      </c>
      <c r="O63" s="43" t="str">
        <v>*jira*</v>
      </c>
      <c r="P63" s="43">
        <f t="shared" si="12"/>
        <v>1</v>
      </c>
      <c r="Q63" s="43" t="str">
        <v>*scrum*</v>
      </c>
      <c r="R63" s="43">
        <v>151</v>
      </c>
      <c r="S63" s="43">
        <f t="shared" si="13"/>
        <v>0.78</v>
      </c>
      <c r="T63" s="43">
        <f t="shared" si="14"/>
        <v>1.1100000000000001</v>
      </c>
    </row>
    <row r="64" spans="7:20">
      <c r="G64" s="33" cm="1">
        <f t="array" ref="G64">INDEX($D:$D, MATCH(1, (H64 &gt;= $B:$B) * (H64 &lt;= $C:$C), 0))</f>
        <v>0</v>
      </c>
      <c r="H64" s="34">
        <v>45907</v>
      </c>
      <c r="I64" s="35" t="s">
        <v>78</v>
      </c>
      <c r="J64" s="35">
        <v>1.5</v>
      </c>
      <c r="K64" s="36" t="s">
        <v>86</v>
      </c>
      <c r="M64" s="43" t="str">
        <v>Initial</v>
      </c>
      <c r="N64" s="43" t="str">
        <f t="shared" si="11"/>
        <v>*initial*</v>
      </c>
      <c r="O64" s="43" t="str">
        <v>*initial*</v>
      </c>
      <c r="P64" s="43">
        <f t="shared" si="12"/>
        <v>4</v>
      </c>
      <c r="Q64" s="43" t="str">
        <v>*week*</v>
      </c>
      <c r="R64" s="43">
        <v>145</v>
      </c>
      <c r="S64" s="43">
        <f t="shared" si="13"/>
        <v>0.79</v>
      </c>
      <c r="T64" s="43">
        <f t="shared" si="14"/>
        <v>1.01</v>
      </c>
    </row>
    <row r="65" spans="7:24">
      <c r="G65" s="27" cm="1">
        <f t="array" ref="G65">INDEX($D:$D, MATCH(1, (H65 &gt;= $B:$B) * (H65 &lt;= $C:$C), 0))</f>
        <v>1</v>
      </c>
      <c r="H65" s="28">
        <v>45908</v>
      </c>
      <c r="I65" s="29" t="s">
        <v>16</v>
      </c>
      <c r="J65" s="29">
        <v>2</v>
      </c>
      <c r="K65" s="30" t="s">
        <v>101</v>
      </c>
      <c r="M65" s="43" t="str">
        <v>Meeting</v>
      </c>
      <c r="N65" s="43" t="str">
        <f t="shared" si="11"/>
        <v>*meet*</v>
      </c>
      <c r="O65" s="43" t="str">
        <v>*meet*</v>
      </c>
      <c r="P65" s="43">
        <f t="shared" si="12"/>
        <v>81</v>
      </c>
      <c r="Q65" s="43" t="str">
        <v>*presenta*</v>
      </c>
      <c r="R65" s="43">
        <v>131</v>
      </c>
      <c r="S65" s="43">
        <f t="shared" si="13"/>
        <v>0.84</v>
      </c>
      <c r="T65" s="43">
        <f t="shared" si="14"/>
        <v>1.06</v>
      </c>
    </row>
    <row r="66" spans="7:24">
      <c r="G66" s="27" cm="1">
        <f t="array" ref="G66">INDEX($D:$D, MATCH(1, (H66 &gt;= $B:$B) * (H66 &lt;= $C:$C), 0))</f>
        <v>1</v>
      </c>
      <c r="H66" s="28">
        <v>45908</v>
      </c>
      <c r="I66" s="29" t="s">
        <v>24</v>
      </c>
      <c r="J66" s="29">
        <v>2</v>
      </c>
      <c r="K66" s="30" t="s">
        <v>101</v>
      </c>
      <c r="M66" s="43" t="str">
        <v>Version</v>
      </c>
      <c r="N66" s="43" t="str">
        <f t="shared" si="11"/>
        <v>*version*</v>
      </c>
      <c r="O66" s="43" t="str">
        <v>*version*</v>
      </c>
      <c r="P66" s="43">
        <f t="shared" si="12"/>
        <v>2</v>
      </c>
      <c r="Q66" s="43" t="str">
        <v>*b*</v>
      </c>
      <c r="R66" s="43">
        <v>131</v>
      </c>
      <c r="S66" s="43">
        <f t="shared" si="13"/>
        <v>0.84</v>
      </c>
      <c r="T66" s="43">
        <f t="shared" si="14"/>
        <v>1</v>
      </c>
    </row>
    <row r="67" spans="7:24">
      <c r="G67" s="27" cm="1">
        <f t="array" ref="G67">INDEX($D:$D, MATCH(1, (H67 &gt;= $B:$B) * (H67 &lt;= $C:$C), 0))</f>
        <v>1</v>
      </c>
      <c r="H67" s="28">
        <v>45908</v>
      </c>
      <c r="I67" s="29" t="s">
        <v>78</v>
      </c>
      <c r="J67" s="29">
        <v>1</v>
      </c>
      <c r="K67" s="30" t="s">
        <v>102</v>
      </c>
      <c r="M67" s="43" t="str">
        <v>control</v>
      </c>
      <c r="N67" s="43" t="str">
        <f t="shared" si="11"/>
        <v>*control*</v>
      </c>
      <c r="O67" s="43" t="str">
        <v>*control*</v>
      </c>
      <c r="P67" s="43">
        <f>COUNTIF($K$5:$K$1000,$O67)</f>
        <v>6</v>
      </c>
      <c r="Q67" s="43" t="str">
        <v>*for*</v>
      </c>
      <c r="R67" s="43">
        <v>116</v>
      </c>
      <c r="S67" s="43">
        <f t="shared" si="13"/>
        <v>0.89</v>
      </c>
      <c r="T67" s="43">
        <f t="shared" si="14"/>
        <v>1.06</v>
      </c>
    </row>
    <row r="68" spans="7:24">
      <c r="G68" s="27" cm="1">
        <f t="array" ref="G68">INDEX($D:$D, MATCH(1, (H68 &gt;= $B:$B) * (H68 &lt;= $C:$C), 0))</f>
        <v>1</v>
      </c>
      <c r="H68" s="28">
        <v>45908</v>
      </c>
      <c r="I68" s="29" t="s">
        <v>26</v>
      </c>
      <c r="J68" s="29">
        <v>1</v>
      </c>
      <c r="K68" s="30" t="s">
        <v>102</v>
      </c>
      <c r="M68" s="43" t="str">
        <v>research</v>
      </c>
      <c r="N68" s="43" t="str">
        <f t="shared" si="11"/>
        <v>*research*</v>
      </c>
      <c r="O68" s="43" t="str">
        <v>*research*</v>
      </c>
      <c r="P68" s="43">
        <f t="shared" si="12"/>
        <v>12</v>
      </c>
      <c r="Q68" s="43" t="str">
        <v>*to*</v>
      </c>
      <c r="R68" s="43">
        <v>112</v>
      </c>
      <c r="S68" s="43">
        <f t="shared" si="13"/>
        <v>0.91</v>
      </c>
      <c r="T68" s="43">
        <f t="shared" si="14"/>
        <v>1.02</v>
      </c>
    </row>
    <row r="69" spans="7:24">
      <c r="G69" s="27" cm="1">
        <f t="array" ref="G69">INDEX($D:$D, MATCH(1, (H69 &gt;= $B:$B) * (H69 &lt;= $C:$C), 0))</f>
        <v>1</v>
      </c>
      <c r="H69" s="28">
        <v>45908</v>
      </c>
      <c r="I69" s="29" t="s">
        <v>34</v>
      </c>
      <c r="J69" s="29">
        <v>1</v>
      </c>
      <c r="K69" s="30" t="s">
        <v>102</v>
      </c>
      <c r="M69" s="43" t="str">
        <v>Policy</v>
      </c>
      <c r="N69" s="43" t="str">
        <f t="shared" si="11"/>
        <v>*policy*</v>
      </c>
      <c r="O69" s="43" t="str">
        <v>*policy*</v>
      </c>
      <c r="P69" s="43">
        <f t="shared" si="12"/>
        <v>5</v>
      </c>
      <c r="Q69" s="43" t="str">
        <v>*work*</v>
      </c>
      <c r="R69" s="43">
        <v>112</v>
      </c>
      <c r="S69" s="43">
        <f t="shared" si="13"/>
        <v>0.91</v>
      </c>
      <c r="T69" s="43">
        <f t="shared" si="14"/>
        <v>1</v>
      </c>
      <c r="W69" s="10" t="s">
        <v>103</v>
      </c>
    </row>
    <row r="70" spans="7:24">
      <c r="G70" s="33" cm="1">
        <f t="array" ref="G70">INDEX($D:$D, MATCH(1, (H70 &gt;= $B:$B) * (H70 &lt;= $C:$C), 0))</f>
        <v>1</v>
      </c>
      <c r="H70" s="34">
        <v>45908</v>
      </c>
      <c r="I70" s="35" t="s">
        <v>28</v>
      </c>
      <c r="J70" s="35">
        <v>1</v>
      </c>
      <c r="K70" s="36" t="s">
        <v>102</v>
      </c>
      <c r="M70" s="43" t="str">
        <v>Logistics</v>
      </c>
      <c r="N70" s="43" t="str">
        <f t="shared" si="11"/>
        <v>*logistics*</v>
      </c>
      <c r="O70" s="43" t="str">
        <v>*logistics*</v>
      </c>
      <c r="P70" s="43">
        <f t="shared" si="12"/>
        <v>5</v>
      </c>
      <c r="Q70" s="43" t="str">
        <v>*print*</v>
      </c>
      <c r="R70" s="43">
        <v>92</v>
      </c>
      <c r="S70" s="43">
        <f t="shared" si="13"/>
        <v>0.99</v>
      </c>
      <c r="T70" s="43">
        <f t="shared" si="14"/>
        <v>1.0900000000000001</v>
      </c>
      <c r="W70" s="10" t="s">
        <v>104</v>
      </c>
    </row>
    <row r="71" spans="7:24">
      <c r="G71" s="27" cm="1">
        <f t="array" ref="G71">INDEX($D:$D, MATCH(1, (H71 &gt;= $B:$B) * (H71 &lt;= $C:$C), 0))</f>
        <v>1</v>
      </c>
      <c r="H71" s="28">
        <v>45910</v>
      </c>
      <c r="I71" s="29" t="s">
        <v>78</v>
      </c>
      <c r="J71" s="29">
        <v>1</v>
      </c>
      <c r="K71" s="30" t="s">
        <v>77</v>
      </c>
      <c r="M71" s="43" t="str">
        <v>Game</v>
      </c>
      <c r="N71" s="43" t="str">
        <f t="shared" si="11"/>
        <v>*game*</v>
      </c>
      <c r="O71" s="43" t="str">
        <v>*game*</v>
      </c>
      <c r="P71" s="43">
        <f t="shared" si="12"/>
        <v>42</v>
      </c>
      <c r="Q71" s="43" t="str">
        <v>*plan*</v>
      </c>
      <c r="R71" s="43">
        <v>90</v>
      </c>
      <c r="S71" s="43">
        <f t="shared" si="13"/>
        <v>1</v>
      </c>
      <c r="T71" s="43">
        <f t="shared" si="14"/>
        <v>1.01</v>
      </c>
    </row>
    <row r="72" spans="7:24">
      <c r="G72" s="27" cm="1">
        <f t="array" ref="G72">INDEX($D:$D, MATCH(1, (H72 &gt;= $B:$B) * (H72 &lt;= $C:$C), 0))</f>
        <v>1</v>
      </c>
      <c r="H72" s="28">
        <v>45910</v>
      </c>
      <c r="I72" s="29" t="s">
        <v>16</v>
      </c>
      <c r="J72" s="29">
        <v>0.5</v>
      </c>
      <c r="K72" s="30" t="s">
        <v>77</v>
      </c>
      <c r="M72" s="43" t="str">
        <v>design</v>
      </c>
      <c r="N72" s="43" t="str">
        <f t="shared" si="11"/>
        <v>*design*</v>
      </c>
      <c r="O72" s="43" t="str">
        <v>*design*</v>
      </c>
      <c r="P72" s="43">
        <f t="shared" si="12"/>
        <v>20</v>
      </c>
      <c r="Q72" s="43" t="str">
        <v>*plann*</v>
      </c>
      <c r="R72" s="43">
        <v>89</v>
      </c>
      <c r="S72" s="43">
        <f t="shared" si="13"/>
        <v>1</v>
      </c>
      <c r="T72" s="43">
        <f t="shared" si="14"/>
        <v>1</v>
      </c>
      <c r="W72" s="10" t="s">
        <v>105</v>
      </c>
    </row>
    <row r="73" spans="7:24">
      <c r="G73" s="27" cm="1">
        <f t="array" ref="G73">INDEX($D:$D, MATCH(1, (H73 &gt;= $B:$B) * (H73 &lt;= $C:$C), 0))</f>
        <v>1</v>
      </c>
      <c r="H73" s="28">
        <v>45910</v>
      </c>
      <c r="I73" s="29" t="s">
        <v>24</v>
      </c>
      <c r="J73" s="29">
        <v>0.5</v>
      </c>
      <c r="K73" s="30" t="s">
        <v>77</v>
      </c>
      <c r="M73" s="43" t="str">
        <v>presentation</v>
      </c>
      <c r="N73" s="43" t="str">
        <f t="shared" si="11"/>
        <v>*presenta*</v>
      </c>
      <c r="O73" s="43" t="str">
        <v>*presenta*</v>
      </c>
      <c r="P73" s="43">
        <f t="shared" si="12"/>
        <v>131</v>
      </c>
      <c r="Q73" s="43" t="str">
        <v>*puzzle*</v>
      </c>
      <c r="R73" s="43">
        <v>88</v>
      </c>
      <c r="S73" s="43">
        <f t="shared" si="13"/>
        <v>1.01</v>
      </c>
      <c r="T73" s="43">
        <f t="shared" si="14"/>
        <v>1.01</v>
      </c>
      <c r="W73" s="59" t="s">
        <v>106</v>
      </c>
    </row>
    <row r="74" spans="7:24">
      <c r="G74" s="27" cm="1">
        <f t="array" ref="G74">INDEX($D:$D, MATCH(1, (H74 &gt;= $B:$B) * (H74 &lt;= $C:$C), 0))</f>
        <v>1</v>
      </c>
      <c r="H74" s="28">
        <v>45910</v>
      </c>
      <c r="I74" s="29" t="s">
        <v>26</v>
      </c>
      <c r="J74" s="29">
        <v>1</v>
      </c>
      <c r="K74" s="30" t="s">
        <v>77</v>
      </c>
      <c r="M74" s="43" t="str">
        <v>Lecture</v>
      </c>
      <c r="N74" s="43" t="str">
        <f t="shared" si="11"/>
        <v>*lecture*</v>
      </c>
      <c r="O74" s="43" t="str">
        <v>*lecture*</v>
      </c>
      <c r="P74" s="43">
        <f t="shared" si="12"/>
        <v>20</v>
      </c>
      <c r="Q74" s="43" t="str">
        <v>*sprint*</v>
      </c>
      <c r="R74" s="43">
        <v>84</v>
      </c>
      <c r="S74" s="43">
        <f t="shared" si="13"/>
        <v>1.03</v>
      </c>
      <c r="T74" s="43">
        <f t="shared" si="14"/>
        <v>1.02</v>
      </c>
      <c r="X74" s="10" t="s">
        <v>107</v>
      </c>
    </row>
    <row r="75" spans="7:24">
      <c r="G75" s="27" cm="1">
        <f t="array" ref="G75">INDEX($D:$D, MATCH(1, (H75 &gt;= $B:$B) * (H75 &lt;= $C:$C), 0))</f>
        <v>1</v>
      </c>
      <c r="H75" s="28">
        <v>45910</v>
      </c>
      <c r="I75" s="29" t="s">
        <v>34</v>
      </c>
      <c r="J75" s="29">
        <v>1</v>
      </c>
      <c r="K75" s="30" t="s">
        <v>77</v>
      </c>
      <c r="M75" s="43" t="str">
        <v>1</v>
      </c>
      <c r="N75" s="43" t="str">
        <f t="shared" si="11"/>
        <v>*1*</v>
      </c>
      <c r="O75" s="43" t="str">
        <v>*1*</v>
      </c>
      <c r="P75" s="43">
        <f t="shared" si="12"/>
        <v>10</v>
      </c>
      <c r="Q75" s="43" t="str">
        <v>*meet*</v>
      </c>
      <c r="R75" s="43">
        <v>81</v>
      </c>
      <c r="S75" s="43">
        <f t="shared" si="13"/>
        <v>1.05</v>
      </c>
      <c r="T75" s="43">
        <f t="shared" si="14"/>
        <v>1.02</v>
      </c>
    </row>
    <row r="76" spans="7:24">
      <c r="G76" s="27" cm="1">
        <f t="array" ref="G76">INDEX($D:$D, MATCH(1, (H76 &gt;= $B:$B) * (H76 &lt;= $C:$C), 0))</f>
        <v>1</v>
      </c>
      <c r="H76" s="28">
        <v>45910</v>
      </c>
      <c r="I76" s="29" t="s">
        <v>28</v>
      </c>
      <c r="J76" s="29">
        <v>1</v>
      </c>
      <c r="K76" s="30" t="s">
        <v>77</v>
      </c>
      <c r="M76" s="43" t="str">
        <v>Quick</v>
      </c>
      <c r="N76" s="43" t="str">
        <f t="shared" si="11"/>
        <v>*quick*</v>
      </c>
      <c r="O76" s="43" t="str">
        <v>*quick*</v>
      </c>
      <c r="P76" s="43">
        <f t="shared" si="12"/>
        <v>3</v>
      </c>
      <c r="Q76" s="43" t="str">
        <v>*it*</v>
      </c>
      <c r="R76" s="43">
        <v>79</v>
      </c>
      <c r="S76" s="43">
        <f t="shared" si="13"/>
        <v>1.06</v>
      </c>
      <c r="T76" s="43">
        <f t="shared" si="14"/>
        <v>1.01</v>
      </c>
    </row>
    <row r="77" spans="7:24">
      <c r="G77" s="27" cm="1">
        <f t="array" ref="G77">INDEX($D:$D, MATCH(1, (H77 &gt;= $B:$B) * (H77 &lt;= $C:$C), 0))</f>
        <v>1</v>
      </c>
      <c r="H77" s="28">
        <v>45910</v>
      </c>
      <c r="I77" s="29" t="s">
        <v>78</v>
      </c>
      <c r="J77" s="29">
        <v>4</v>
      </c>
      <c r="K77" s="30" t="s">
        <v>108</v>
      </c>
      <c r="M77" s="43" t="str">
        <v>membership</v>
      </c>
      <c r="N77" s="43" t="str">
        <f t="shared" si="11"/>
        <v>*membership*</v>
      </c>
      <c r="O77" s="43" t="str">
        <v>*membership*</v>
      </c>
      <c r="P77" s="43">
        <f t="shared" si="12"/>
        <v>3</v>
      </c>
      <c r="Q77" s="43" t="str">
        <v>*add*</v>
      </c>
      <c r="R77" s="43">
        <v>69</v>
      </c>
      <c r="S77" s="43">
        <f t="shared" si="13"/>
        <v>1.1200000000000001</v>
      </c>
      <c r="T77" s="43">
        <f t="shared" si="14"/>
        <v>1.06</v>
      </c>
    </row>
    <row r="78" spans="7:24">
      <c r="G78" s="27" cm="1">
        <f t="array" ref="G78">INDEX($D:$D, MATCH(1, (H78 &gt;= $B:$B) * (H78 &lt;= $C:$C), 0))</f>
        <v>1</v>
      </c>
      <c r="H78" s="28">
        <v>45910</v>
      </c>
      <c r="I78" s="29" t="s">
        <v>26</v>
      </c>
      <c r="J78" s="29">
        <v>4</v>
      </c>
      <c r="K78" s="30" t="s">
        <v>108</v>
      </c>
      <c r="M78" s="43" t="str">
        <v>vote</v>
      </c>
      <c r="N78" s="43" t="str">
        <f t="shared" si="11"/>
        <v>*vote*</v>
      </c>
      <c r="O78" s="43" t="str">
        <v>*vote*</v>
      </c>
      <c r="P78" s="43">
        <f t="shared" si="12"/>
        <v>3</v>
      </c>
      <c r="Q78" s="43" t="str">
        <v>*fix*</v>
      </c>
      <c r="R78" s="43">
        <v>63</v>
      </c>
      <c r="S78" s="43">
        <f t="shared" si="13"/>
        <v>1.1499999999999999</v>
      </c>
      <c r="T78" s="43">
        <f t="shared" si="14"/>
        <v>1.03</v>
      </c>
    </row>
    <row r="79" spans="7:24">
      <c r="G79" s="27" cm="1">
        <f t="array" ref="G79">INDEX($D:$D, MATCH(1, (H79 &gt;= $B:$B) * (H79 &lt;= $C:$C), 0))</f>
        <v>1</v>
      </c>
      <c r="H79" s="28">
        <v>45910</v>
      </c>
      <c r="I79" s="29" t="s">
        <v>28</v>
      </c>
      <c r="J79" s="29">
        <v>4</v>
      </c>
      <c r="K79" s="30" t="s">
        <v>108</v>
      </c>
      <c r="M79" s="43" t="str">
        <v>Perforce</v>
      </c>
      <c r="N79" s="43" t="str">
        <f t="shared" si="11"/>
        <v>*perforce*</v>
      </c>
      <c r="O79" s="43" t="str">
        <v>*perforce*</v>
      </c>
      <c r="P79" s="43">
        <f t="shared" si="12"/>
        <v>19</v>
      </c>
      <c r="Q79" s="43" t="str">
        <v>*as*</v>
      </c>
      <c r="R79" s="43">
        <v>63</v>
      </c>
      <c r="S79" s="43">
        <f t="shared" si="13"/>
        <v>1.1499999999999999</v>
      </c>
      <c r="T79" s="43">
        <f t="shared" si="14"/>
        <v>1</v>
      </c>
    </row>
    <row r="80" spans="7:24">
      <c r="G80" s="27" cm="1">
        <f t="array" ref="G80">INDEX($D:$D, MATCH(1, (H80 &gt;= $B:$B) * (H80 &lt;= $C:$C), 0))</f>
        <v>1</v>
      </c>
      <c r="H80" s="28">
        <v>45910</v>
      </c>
      <c r="I80" s="29" t="s">
        <v>16</v>
      </c>
      <c r="J80" s="29">
        <v>4</v>
      </c>
      <c r="K80" s="30" t="s">
        <v>108</v>
      </c>
      <c r="M80" s="43" t="str">
        <v>tunneling</v>
      </c>
      <c r="N80" s="43" t="str">
        <f t="shared" si="11"/>
        <v>*tunnel*</v>
      </c>
      <c r="O80" s="43" t="str">
        <v>*tunnel*</v>
      </c>
      <c r="P80" s="43">
        <f t="shared" si="12"/>
        <v>1</v>
      </c>
      <c r="Q80" s="43" t="str">
        <v>*is*</v>
      </c>
      <c r="R80" s="43">
        <v>53</v>
      </c>
      <c r="S80" s="43">
        <f t="shared" si="13"/>
        <v>1.23</v>
      </c>
      <c r="T80" s="43">
        <f t="shared" si="14"/>
        <v>1.07</v>
      </c>
    </row>
    <row r="81" spans="7:20">
      <c r="G81" s="33" cm="1">
        <f t="array" ref="G81">INDEX($D:$D, MATCH(1, (H81 &gt;= $B:$B) * (H81 &lt;= $C:$C), 0))</f>
        <v>1</v>
      </c>
      <c r="H81" s="34">
        <v>45910</v>
      </c>
      <c r="I81" s="35" t="s">
        <v>24</v>
      </c>
      <c r="J81" s="35">
        <v>4</v>
      </c>
      <c r="K81" s="36" t="s">
        <v>108</v>
      </c>
      <c r="M81" s="43" t="str">
        <v>Weekly</v>
      </c>
      <c r="N81" s="43" t="str">
        <f t="shared" si="11"/>
        <v>*week*</v>
      </c>
      <c r="O81" s="43" t="str">
        <v>*week*</v>
      </c>
      <c r="P81" s="43">
        <f t="shared" si="12"/>
        <v>145</v>
      </c>
      <c r="Q81" s="43" t="str">
        <v>*up*</v>
      </c>
      <c r="R81" s="43">
        <v>47</v>
      </c>
      <c r="S81" s="43">
        <f t="shared" si="13"/>
        <v>1.28</v>
      </c>
      <c r="T81" s="43">
        <f t="shared" si="14"/>
        <v>1.04</v>
      </c>
    </row>
    <row r="82" spans="7:20">
      <c r="G82" s="27" cm="1">
        <f t="array" ref="G82">INDEX($D:$D, MATCH(1, (H82 &gt;= $B:$B) * (H82 &lt;= $C:$C), 0))</f>
        <v>1</v>
      </c>
      <c r="H82" s="28">
        <v>45917</v>
      </c>
      <c r="I82" s="29" t="s">
        <v>78</v>
      </c>
      <c r="J82" s="29">
        <v>1</v>
      </c>
      <c r="K82" s="30" t="s">
        <v>77</v>
      </c>
      <c r="M82" s="43" t="str">
        <v>Scrum</v>
      </c>
      <c r="N82" s="43" t="str">
        <f t="shared" si="11"/>
        <v>*scrum*</v>
      </c>
      <c r="O82" s="43" t="str">
        <v>*scrum*</v>
      </c>
      <c r="P82" s="43">
        <f t="shared" si="12"/>
        <v>151</v>
      </c>
      <c r="Q82" s="43" t="str">
        <v>*game*</v>
      </c>
      <c r="R82" s="43">
        <v>42</v>
      </c>
      <c r="S82" s="43">
        <f t="shared" si="13"/>
        <v>1.33</v>
      </c>
      <c r="T82" s="43">
        <f t="shared" si="14"/>
        <v>1.04</v>
      </c>
    </row>
    <row r="83" spans="7:20">
      <c r="G83" s="27" cm="1">
        <f t="array" ref="G83">INDEX($D:$D, MATCH(1, (H83 &gt;= $B:$B) * (H83 &lt;= $C:$C), 0))</f>
        <v>1</v>
      </c>
      <c r="H83" s="28">
        <v>45917</v>
      </c>
      <c r="I83" s="29" t="s">
        <v>16</v>
      </c>
      <c r="J83" s="29">
        <v>1</v>
      </c>
      <c r="K83" s="30" t="s">
        <v>77</v>
      </c>
      <c r="M83" s="43" t="str">
        <v>Detective</v>
      </c>
      <c r="N83" s="43" t="str">
        <f t="shared" si="11"/>
        <v>*detective*</v>
      </c>
      <c r="O83" s="43" t="str">
        <v>*detective*</v>
      </c>
      <c r="P83" s="43">
        <f t="shared" si="12"/>
        <v>2</v>
      </c>
      <c r="Q83" s="43" t="str">
        <v>*set*</v>
      </c>
      <c r="R83" s="43">
        <v>41</v>
      </c>
      <c r="S83" s="43">
        <f t="shared" si="13"/>
        <v>1.34</v>
      </c>
      <c r="T83" s="43">
        <f t="shared" si="14"/>
        <v>1.01</v>
      </c>
    </row>
    <row r="84" spans="7:20">
      <c r="G84" s="27" cm="1">
        <f t="array" ref="G84">INDEX($D:$D, MATCH(1, (H84 &gt;= $B:$B) * (H84 &lt;= $C:$C), 0))</f>
        <v>1</v>
      </c>
      <c r="H84" s="28">
        <v>45917</v>
      </c>
      <c r="I84" s="29" t="s">
        <v>24</v>
      </c>
      <c r="J84" s="29">
        <v>1</v>
      </c>
      <c r="K84" s="30" t="s">
        <v>77</v>
      </c>
      <c r="M84" s="43" t="str">
        <v>idea</v>
      </c>
      <c r="N84" s="43" t="str">
        <f t="shared" si="11"/>
        <v>*idea*</v>
      </c>
      <c r="O84" s="43" t="str">
        <v>*idea*</v>
      </c>
      <c r="P84" s="43">
        <f t="shared" si="12"/>
        <v>21</v>
      </c>
      <c r="Q84" s="43" t="str">
        <v>*pract*</v>
      </c>
      <c r="R84" s="43">
        <v>40</v>
      </c>
      <c r="S84" s="43">
        <f t="shared" si="13"/>
        <v>1.35</v>
      </c>
      <c r="T84" s="43">
        <f t="shared" si="14"/>
        <v>1.01</v>
      </c>
    </row>
    <row r="85" spans="7:20">
      <c r="G85" s="27" cm="1">
        <f t="array" ref="G85">INDEX($D:$D, MATCH(1, (H85 &gt;= $B:$B) * (H85 &lt;= $C:$C), 0))</f>
        <v>1</v>
      </c>
      <c r="H85" s="28">
        <v>45917</v>
      </c>
      <c r="I85" s="29" t="s">
        <v>26</v>
      </c>
      <c r="J85" s="29">
        <v>1</v>
      </c>
      <c r="K85" s="30" t="s">
        <v>77</v>
      </c>
      <c r="M85" s="43" t="str">
        <v>Finish</v>
      </c>
      <c r="N85" s="43" t="str">
        <f t="shared" si="11"/>
        <v>*finish*</v>
      </c>
      <c r="O85" s="43" t="str">
        <v>*finish*</v>
      </c>
      <c r="P85" s="43">
        <f t="shared" si="12"/>
        <v>13</v>
      </c>
      <c r="Q85" s="43" t="str">
        <v>*practic*</v>
      </c>
      <c r="R85" s="43">
        <v>39</v>
      </c>
      <c r="S85" s="43">
        <f t="shared" si="13"/>
        <v>1.36</v>
      </c>
      <c r="T85" s="43">
        <f t="shared" si="14"/>
        <v>1.01</v>
      </c>
    </row>
    <row r="86" spans="7:20">
      <c r="G86" s="27" cm="1">
        <f t="array" ref="G86">INDEX($D:$D, MATCH(1, (H86 &gt;= $B:$B) * (H86 &lt;= $C:$C), 0))</f>
        <v>1</v>
      </c>
      <c r="H86" s="28">
        <v>45917</v>
      </c>
      <c r="I86" s="29" t="s">
        <v>34</v>
      </c>
      <c r="J86" s="29">
        <v>1</v>
      </c>
      <c r="K86" s="30" t="s">
        <v>77</v>
      </c>
      <c r="M86" s="43" t="str">
        <v>planning</v>
      </c>
      <c r="N86" s="43" t="str">
        <f t="shared" si="11"/>
        <v>*plann*</v>
      </c>
      <c r="O86" s="43" t="str">
        <v>*plann*</v>
      </c>
      <c r="P86" s="43">
        <f t="shared" si="12"/>
        <v>89</v>
      </c>
      <c r="Q86" s="43" t="str">
        <v>*with*</v>
      </c>
      <c r="R86" s="43">
        <v>38</v>
      </c>
      <c r="S86" s="43">
        <f t="shared" si="13"/>
        <v>1.37</v>
      </c>
      <c r="T86" s="43">
        <f t="shared" si="14"/>
        <v>1.01</v>
      </c>
    </row>
    <row r="87" spans="7:20">
      <c r="G87" s="27" cm="1">
        <f t="array" ref="G87">INDEX($D:$D, MATCH(1, (H87 &gt;= $B:$B) * (H87 &lt;= $C:$C), 0))</f>
        <v>1</v>
      </c>
      <c r="H87" s="28">
        <v>45917</v>
      </c>
      <c r="I87" s="29" t="s">
        <v>28</v>
      </c>
      <c r="J87" s="29">
        <v>1</v>
      </c>
      <c r="K87" s="30" t="s">
        <v>77</v>
      </c>
      <c r="M87" s="43" t="str">
        <v>Robot</v>
      </c>
      <c r="N87" s="43" t="str">
        <f t="shared" si="11"/>
        <v>*robot*</v>
      </c>
      <c r="O87" s="43" t="str">
        <v>*robot*</v>
      </c>
      <c r="P87" s="43">
        <f t="shared" si="12"/>
        <v>1</v>
      </c>
      <c r="Q87" s="43" t="str">
        <v>*practice*</v>
      </c>
      <c r="R87" s="43">
        <v>38</v>
      </c>
      <c r="S87" s="43">
        <f t="shared" si="13"/>
        <v>1.37</v>
      </c>
      <c r="T87" s="43">
        <f t="shared" si="14"/>
        <v>1</v>
      </c>
    </row>
    <row r="88" spans="7:20">
      <c r="G88" s="27" cm="1">
        <f t="array" ref="G88">INDEX($D:$D, MATCH(1, (H88 &gt;= $B:$B) * (H88 &lt;= $C:$C), 0))</f>
        <v>1</v>
      </c>
      <c r="H88" s="28">
        <v>45917</v>
      </c>
      <c r="I88" s="29" t="s">
        <v>16</v>
      </c>
      <c r="J88" s="29">
        <v>2</v>
      </c>
      <c r="K88" s="30" t="s">
        <v>109</v>
      </c>
      <c r="M88" s="43" t="str">
        <v>Sailing</v>
      </c>
      <c r="N88" s="43" t="str">
        <f t="shared" si="11"/>
        <v>*sail*</v>
      </c>
      <c r="O88" s="43" t="str">
        <v>*sail*</v>
      </c>
      <c r="P88" s="43">
        <f t="shared" si="12"/>
        <v>1</v>
      </c>
      <c r="Q88" s="43" t="str">
        <v>*cre*</v>
      </c>
      <c r="R88" s="43">
        <v>35</v>
      </c>
      <c r="S88" s="43">
        <f t="shared" si="13"/>
        <v>1.41</v>
      </c>
      <c r="T88" s="43">
        <f t="shared" si="14"/>
        <v>1.03</v>
      </c>
    </row>
    <row r="89" spans="7:20">
      <c r="G89" s="27" cm="1">
        <f t="array" ref="G89">INDEX($D:$D, MATCH(1, (H89 &gt;= $B:$B) * (H89 &lt;= $C:$C), 0))</f>
        <v>1</v>
      </c>
      <c r="H89" s="28">
        <v>45917</v>
      </c>
      <c r="I89" s="29" t="s">
        <v>28</v>
      </c>
      <c r="J89" s="29">
        <v>2</v>
      </c>
      <c r="K89" s="30" t="s">
        <v>109</v>
      </c>
      <c r="M89" s="43" t="str">
        <v>concept</v>
      </c>
      <c r="N89" s="43" t="str">
        <f t="shared" si="11"/>
        <v>*concept*</v>
      </c>
      <c r="O89" s="43" t="str">
        <v>*concept*</v>
      </c>
      <c r="P89" s="43">
        <f t="shared" si="12"/>
        <v>4</v>
      </c>
      <c r="Q89" s="43" t="str">
        <v>*final*</v>
      </c>
      <c r="R89" s="43">
        <v>35</v>
      </c>
      <c r="S89" s="43">
        <f t="shared" si="13"/>
        <v>1.41</v>
      </c>
      <c r="T89" s="43">
        <f t="shared" si="14"/>
        <v>1</v>
      </c>
    </row>
    <row r="90" spans="7:20">
      <c r="G90" s="27" cm="1">
        <f t="array" ref="G90">INDEX($D:$D, MATCH(1, (H90 &gt;= $B:$B) * (H90 &lt;= $C:$C), 0))</f>
        <v>1</v>
      </c>
      <c r="H90" s="28">
        <v>45917</v>
      </c>
      <c r="I90" s="29" t="s">
        <v>26</v>
      </c>
      <c r="J90" s="29">
        <v>2</v>
      </c>
      <c r="K90" s="30" t="s">
        <v>109</v>
      </c>
      <c r="M90" s="43" t="str">
        <v>Island</v>
      </c>
      <c r="N90" s="43" t="str">
        <f t="shared" si="11"/>
        <v>*island*</v>
      </c>
      <c r="O90" s="43" t="str">
        <v>*island*</v>
      </c>
      <c r="P90" s="43">
        <f t="shared" si="12"/>
        <v>6</v>
      </c>
      <c r="Q90" s="43" t="str">
        <v>*midterm*</v>
      </c>
      <c r="R90" s="43">
        <v>34</v>
      </c>
      <c r="S90" s="43">
        <f t="shared" si="13"/>
        <v>1.42</v>
      </c>
      <c r="T90" s="43">
        <f t="shared" si="14"/>
        <v>1.01</v>
      </c>
    </row>
    <row r="91" spans="7:20">
      <c r="G91" s="33" cm="1">
        <f t="array" ref="G91">INDEX($D:$D, MATCH(1, (H91 &gt;= $B:$B) * (H91 &lt;= $C:$C), 0))</f>
        <v>1</v>
      </c>
      <c r="H91" s="34">
        <v>45917</v>
      </c>
      <c r="I91" s="35" t="s">
        <v>34</v>
      </c>
      <c r="J91" s="35">
        <v>1.5</v>
      </c>
      <c r="K91" s="36" t="s">
        <v>109</v>
      </c>
      <c r="M91" s="43" t="str">
        <v>Song</v>
      </c>
      <c r="N91" s="43" t="str">
        <f t="shared" si="11"/>
        <v>*song*</v>
      </c>
      <c r="O91" s="43" t="str">
        <v>*song*</v>
      </c>
      <c r="P91" s="43">
        <f t="shared" si="12"/>
        <v>2</v>
      </c>
      <c r="Q91" s="43" t="str">
        <v>*percussion*</v>
      </c>
      <c r="R91" s="43">
        <v>33</v>
      </c>
      <c r="S91" s="43">
        <f t="shared" si="13"/>
        <v>1.44</v>
      </c>
      <c r="T91" s="43">
        <f t="shared" si="14"/>
        <v>1.01</v>
      </c>
    </row>
    <row r="92" spans="7:20">
      <c r="G92" s="27" cm="1">
        <f t="array" ref="G92">INDEX($D:$D, MATCH(1, (H92 &gt;= $B:$B) * (H92 &lt;= $C:$C), 0))</f>
        <v>1</v>
      </c>
      <c r="H92" s="28">
        <v>45918</v>
      </c>
      <c r="I92" s="29" t="s">
        <v>16</v>
      </c>
      <c r="J92" s="29">
        <v>1</v>
      </c>
      <c r="K92" s="30" t="s">
        <v>109</v>
      </c>
      <c r="M92" s="43" t="str">
        <v>ideas</v>
      </c>
      <c r="N92" s="43" t="str">
        <f t="shared" si="11"/>
        <v>*ideas*</v>
      </c>
      <c r="O92" s="43" t="str">
        <v>*ideas*</v>
      </c>
      <c r="P92" s="43">
        <f t="shared" si="12"/>
        <v>14</v>
      </c>
      <c r="Q92" s="43" t="str">
        <v>*play*</v>
      </c>
      <c r="R92" s="43">
        <v>33</v>
      </c>
      <c r="S92" s="43">
        <f t="shared" si="13"/>
        <v>1.44</v>
      </c>
      <c r="T92" s="43">
        <f t="shared" si="14"/>
        <v>1</v>
      </c>
    </row>
    <row r="93" spans="7:20">
      <c r="G93" s="27" cm="1">
        <f t="array" ref="G93">INDEX($D:$D, MATCH(1, (H93 &gt;= $B:$B) * (H93 &lt;= $C:$C), 0))</f>
        <v>1</v>
      </c>
      <c r="H93" s="28">
        <v>45918</v>
      </c>
      <c r="I93" s="29" t="s">
        <v>26</v>
      </c>
      <c r="J93" s="29">
        <v>1</v>
      </c>
      <c r="K93" s="30" t="s">
        <v>109</v>
      </c>
      <c r="M93" s="43" t="str">
        <v>Ravensgard</v>
      </c>
      <c r="N93" s="43" t="str">
        <f t="shared" si="11"/>
        <v>*ravensgard*</v>
      </c>
      <c r="O93" s="43" t="str">
        <v>*ravensgard*</v>
      </c>
      <c r="P93" s="43">
        <f t="shared" si="12"/>
        <v>1</v>
      </c>
      <c r="Q93" s="43" t="str">
        <v>*log*</v>
      </c>
      <c r="R93" s="43">
        <v>32</v>
      </c>
      <c r="S93" s="43">
        <f t="shared" si="13"/>
        <v>1.45</v>
      </c>
      <c r="T93" s="43">
        <f t="shared" si="14"/>
        <v>1.01</v>
      </c>
    </row>
    <row r="94" spans="7:20">
      <c r="G94" s="33" cm="1">
        <f t="array" ref="G94">INDEX($D:$D, MATCH(1, (H94 &gt;= $B:$B) * (H94 &lt;= $C:$C), 0))</f>
        <v>1</v>
      </c>
      <c r="H94" s="34">
        <v>45918</v>
      </c>
      <c r="I94" s="35" t="s">
        <v>28</v>
      </c>
      <c r="J94" s="35">
        <v>1</v>
      </c>
      <c r="K94" s="36" t="s">
        <v>109</v>
      </c>
      <c r="M94" s="43" t="str">
        <v>Sprint</v>
      </c>
      <c r="N94" s="43" t="str">
        <f t="shared" si="11"/>
        <v>*sprint*</v>
      </c>
      <c r="O94" s="43" t="str">
        <v>*sprint*</v>
      </c>
      <c r="P94" s="43">
        <f t="shared" si="12"/>
        <v>84</v>
      </c>
      <c r="Q94" s="43" t="str">
        <v>*test*</v>
      </c>
      <c r="R94" s="43">
        <v>32</v>
      </c>
      <c r="S94" s="43">
        <f t="shared" si="13"/>
        <v>1.45</v>
      </c>
      <c r="T94" s="43">
        <f t="shared" si="14"/>
        <v>1</v>
      </c>
    </row>
    <row r="95" spans="7:20">
      <c r="G95" s="27" cm="1">
        <f t="array" ref="G95">INDEX($D:$D, MATCH(1, (H95 &gt;= $B:$B) * (H95 &lt;= $C:$C), 0))</f>
        <v>1</v>
      </c>
      <c r="H95" s="28">
        <v>45919</v>
      </c>
      <c r="I95" s="29" t="s">
        <v>78</v>
      </c>
      <c r="J95" s="29">
        <v>6</v>
      </c>
      <c r="K95" s="30" t="s">
        <v>110</v>
      </c>
      <c r="M95" s="43" t="str">
        <v>Prep</v>
      </c>
      <c r="N95" s="43" t="str">
        <f t="shared" si="11"/>
        <v>*prep*</v>
      </c>
      <c r="O95" s="43" t="str">
        <v>*prep*</v>
      </c>
      <c r="P95" s="43">
        <f t="shared" si="12"/>
        <v>24</v>
      </c>
      <c r="Q95" s="43" t="str">
        <v>*color*</v>
      </c>
      <c r="R95" s="43">
        <v>31</v>
      </c>
      <c r="S95" s="43">
        <f t="shared" si="13"/>
        <v>1.46</v>
      </c>
      <c r="T95" s="43">
        <f t="shared" si="14"/>
        <v>1.01</v>
      </c>
    </row>
    <row r="96" spans="7:20">
      <c r="G96" s="27" cm="1">
        <f t="array" ref="G96">INDEX($D:$D, MATCH(1, (H96 &gt;= $B:$B) * (H96 &lt;= $C:$C), 0))</f>
        <v>1</v>
      </c>
      <c r="H96" s="28">
        <v>45919</v>
      </c>
      <c r="I96" s="29" t="s">
        <v>16</v>
      </c>
      <c r="J96" s="29">
        <v>6</v>
      </c>
      <c r="K96" s="30" t="s">
        <v>110</v>
      </c>
      <c r="M96" s="43" t="str">
        <v>Client</v>
      </c>
      <c r="N96" s="43" t="str">
        <f t="shared" si="11"/>
        <v>*client*</v>
      </c>
      <c r="O96" s="43" t="str">
        <v>*client*</v>
      </c>
      <c r="P96" s="43">
        <f t="shared" si="12"/>
        <v>24</v>
      </c>
      <c r="Q96" s="43" t="str">
        <v>*creat*</v>
      </c>
      <c r="R96" s="43">
        <v>28</v>
      </c>
      <c r="S96" s="43">
        <f t="shared" si="13"/>
        <v>1.51</v>
      </c>
      <c r="T96" s="43">
        <f t="shared" si="14"/>
        <v>1.03</v>
      </c>
    </row>
    <row r="97" spans="7:20">
      <c r="G97" s="27" cm="1">
        <f t="array" ref="G97">INDEX($D:$D, MATCH(1, (H97 &gt;= $B:$B) * (H97 &lt;= $C:$C), 0))</f>
        <v>1</v>
      </c>
      <c r="H97" s="28">
        <v>45919</v>
      </c>
      <c r="I97" s="29" t="s">
        <v>24</v>
      </c>
      <c r="J97" s="29">
        <v>6</v>
      </c>
      <c r="K97" s="30" t="s">
        <v>110</v>
      </c>
      <c r="M97" s="43" t="str">
        <v>proposal</v>
      </c>
      <c r="N97" s="43" t="str">
        <f t="shared" si="11"/>
        <v>*proposal*</v>
      </c>
      <c r="O97" s="43" t="str">
        <v>*proposal*</v>
      </c>
      <c r="P97" s="43">
        <f t="shared" si="12"/>
        <v>15</v>
      </c>
      <c r="Q97" s="43" t="str">
        <v>*crea*</v>
      </c>
      <c r="R97" s="43">
        <v>28</v>
      </c>
      <c r="S97" s="43">
        <f t="shared" si="13"/>
        <v>1.51</v>
      </c>
      <c r="T97" s="43">
        <f t="shared" si="14"/>
        <v>1</v>
      </c>
    </row>
    <row r="98" spans="7:20">
      <c r="G98" s="27" cm="1">
        <f t="array" ref="G98">INDEX($D:$D, MATCH(1, (H98 &gt;= $B:$B) * (H98 &lt;= $C:$C), 0))</f>
        <v>1</v>
      </c>
      <c r="H98" s="28">
        <v>45919</v>
      </c>
      <c r="I98" s="29" t="s">
        <v>26</v>
      </c>
      <c r="J98" s="29">
        <v>6</v>
      </c>
      <c r="K98" s="30" t="s">
        <v>110</v>
      </c>
      <c r="M98" s="43" t="str">
        <v>document</v>
      </c>
      <c r="N98" s="43" t="str">
        <f t="shared" si="11"/>
        <v>*document*</v>
      </c>
      <c r="O98" s="43" t="str">
        <v>*document*</v>
      </c>
      <c r="P98" s="43">
        <f t="shared" si="12"/>
        <v>17</v>
      </c>
      <c r="Q98" s="43" t="str">
        <v>*por*</v>
      </c>
      <c r="R98" s="43">
        <v>28</v>
      </c>
      <c r="S98" s="43">
        <f t="shared" si="13"/>
        <v>1.51</v>
      </c>
      <c r="T98" s="43">
        <f t="shared" si="14"/>
        <v>1</v>
      </c>
    </row>
    <row r="99" spans="7:20">
      <c r="G99" s="27" cm="1">
        <f t="array" ref="G99">INDEX($D:$D, MATCH(1, (H99 &gt;= $B:$B) * (H99 &lt;= $C:$C), 0))</f>
        <v>1</v>
      </c>
      <c r="H99" s="28">
        <v>45919</v>
      </c>
      <c r="I99" s="29" t="s">
        <v>34</v>
      </c>
      <c r="J99" s="29">
        <v>6</v>
      </c>
      <c r="K99" s="30" t="s">
        <v>110</v>
      </c>
      <c r="M99" s="43" t="str">
        <v>DocuSign</v>
      </c>
      <c r="N99" s="43" t="str">
        <f t="shared" si="11"/>
        <v>*docusign*</v>
      </c>
      <c r="O99" s="43" t="str">
        <v>*docusign*</v>
      </c>
      <c r="P99" s="43">
        <f t="shared" si="12"/>
        <v>2</v>
      </c>
      <c r="Q99" s="43" t="str">
        <v>*the*</v>
      </c>
      <c r="R99" s="43">
        <v>27</v>
      </c>
      <c r="S99" s="43">
        <f t="shared" si="13"/>
        <v>1.52</v>
      </c>
      <c r="T99" s="43">
        <f t="shared" si="14"/>
        <v>1.01</v>
      </c>
    </row>
    <row r="100" spans="7:20">
      <c r="G100" s="27" cm="1">
        <f t="array" ref="G100">INDEX($D:$D, MATCH(1, (H100 &gt;= $B:$B) * (H100 &lt;= $C:$C), 0))</f>
        <v>1</v>
      </c>
      <c r="H100" s="28">
        <v>45919</v>
      </c>
      <c r="I100" s="29" t="s">
        <v>28</v>
      </c>
      <c r="J100" s="29">
        <v>6</v>
      </c>
      <c r="K100" s="30" t="s">
        <v>110</v>
      </c>
      <c r="M100" s="43" t="str">
        <v>(Team</v>
      </c>
      <c r="N100" s="43" t="str">
        <f t="shared" si="11"/>
        <v>*team*</v>
      </c>
      <c r="O100" s="43" t="str">
        <v>*team*</v>
      </c>
      <c r="P100" s="43">
        <f t="shared" si="12"/>
        <v>6</v>
      </c>
      <c r="Q100" s="43" t="str">
        <v>*mechanic*</v>
      </c>
      <c r="R100" s="43">
        <v>27</v>
      </c>
      <c r="S100" s="43">
        <f t="shared" si="13"/>
        <v>1.52</v>
      </c>
      <c r="T100" s="43">
        <f t="shared" si="14"/>
        <v>1</v>
      </c>
    </row>
    <row r="101" spans="7:20">
      <c r="G101" s="33" cm="1">
        <f t="array" ref="G101">INDEX($D:$D, MATCH(1, (H101 &gt;= $B:$B) * (H101 &lt;= $C:$C), 0))</f>
        <v>1</v>
      </c>
      <c r="H101" s="34">
        <v>45919</v>
      </c>
      <c r="I101" s="35" t="s">
        <v>26</v>
      </c>
      <c r="J101" s="35">
        <v>1</v>
      </c>
      <c r="K101" s="36" t="s">
        <v>111</v>
      </c>
      <c r="M101" s="43" t="str">
        <v>Members)</v>
      </c>
      <c r="N101" s="43" t="str">
        <f t="shared" si="11"/>
        <v>*members*</v>
      </c>
      <c r="O101" s="43" t="str">
        <v>*members*</v>
      </c>
      <c r="P101" s="43">
        <f t="shared" si="12"/>
        <v>4</v>
      </c>
      <c r="Q101" s="43" t="str">
        <v>*ue*</v>
      </c>
      <c r="R101" s="43">
        <v>27</v>
      </c>
      <c r="S101" s="43">
        <f t="shared" si="13"/>
        <v>1.52</v>
      </c>
      <c r="T101" s="43">
        <f t="shared" si="14"/>
        <v>1</v>
      </c>
    </row>
    <row r="102" spans="7:20">
      <c r="G102" s="33" cm="1">
        <f t="array" ref="G102">INDEX($D:$D, MATCH(1, (H102 &gt;= $B:$B) * (H102 &lt;= $C:$C), 0))</f>
        <v>1</v>
      </c>
      <c r="H102" s="34">
        <v>45920</v>
      </c>
      <c r="I102" s="35" t="s">
        <v>16</v>
      </c>
      <c r="J102" s="35">
        <v>1</v>
      </c>
      <c r="K102" s="36" t="s">
        <v>112</v>
      </c>
      <c r="M102" s="43" t="str">
        <v>(Bolinger,</v>
      </c>
      <c r="N102" s="43" t="str">
        <f t="shared" si="11"/>
        <v>*bolinger*</v>
      </c>
      <c r="O102" s="43" t="str">
        <v>*bolinger*</v>
      </c>
      <c r="P102" s="43">
        <f t="shared" si="12"/>
        <v>1</v>
      </c>
      <c r="Q102" s="43" t="str">
        <v>*bug*</v>
      </c>
      <c r="R102" s="43">
        <v>27</v>
      </c>
      <c r="S102" s="43">
        <f t="shared" si="13"/>
        <v>1.52</v>
      </c>
      <c r="T102" s="43">
        <f t="shared" si="14"/>
        <v>1</v>
      </c>
    </row>
    <row r="103" spans="7:20">
      <c r="G103" s="27" cm="1">
        <f t="array" ref="G103">INDEX($D:$D, MATCH(1, (H103 &gt;= $B:$B) * (H103 &lt;= $C:$C), 0))</f>
        <v>2</v>
      </c>
      <c r="H103" s="28">
        <v>45922</v>
      </c>
      <c r="I103" s="29" t="s">
        <v>16</v>
      </c>
      <c r="J103" s="29">
        <v>1.5</v>
      </c>
      <c r="K103" s="30" t="s">
        <v>101</v>
      </c>
      <c r="M103" s="43" t="str">
        <v>Client)</v>
      </c>
      <c r="N103" s="43" t="str">
        <f t="shared" si="11"/>
        <v>*client*</v>
      </c>
      <c r="O103" s="43" t="str">
        <v>*create*</v>
      </c>
      <c r="P103" s="43">
        <f t="shared" si="12"/>
        <v>17</v>
      </c>
      <c r="Q103" s="43" t="str">
        <v>*string*</v>
      </c>
      <c r="R103" s="43">
        <v>26</v>
      </c>
      <c r="S103" s="43">
        <f t="shared" si="13"/>
        <v>1.54</v>
      </c>
      <c r="T103" s="43">
        <f t="shared" si="14"/>
        <v>1.01</v>
      </c>
    </row>
    <row r="104" spans="7:20">
      <c r="G104" s="27" cm="1">
        <f t="array" ref="G104">INDEX($D:$D, MATCH(1, (H104 &gt;= $B:$B) * (H104 &lt;= $C:$C), 0))</f>
        <v>2</v>
      </c>
      <c r="H104" s="28">
        <v>45922</v>
      </c>
      <c r="I104" s="29" t="s">
        <v>24</v>
      </c>
      <c r="J104" s="29">
        <v>1.5</v>
      </c>
      <c r="K104" s="30" t="s">
        <v>101</v>
      </c>
      <c r="M104" s="43" t="str">
        <v>Create</v>
      </c>
      <c r="N104" s="43" t="str">
        <f t="shared" si="11"/>
        <v>*create*</v>
      </c>
      <c r="O104" s="43" t="str">
        <v>*unreal*</v>
      </c>
      <c r="P104" s="43">
        <f t="shared" si="12"/>
        <v>11</v>
      </c>
      <c r="Q104" s="43" t="str">
        <v>*all*</v>
      </c>
      <c r="R104" s="43">
        <v>26</v>
      </c>
      <c r="S104" s="43">
        <f t="shared" si="13"/>
        <v>1.54</v>
      </c>
      <c r="T104" s="43">
        <f t="shared" si="14"/>
        <v>1</v>
      </c>
    </row>
    <row r="105" spans="7:20">
      <c r="G105" s="27" cm="1">
        <f t="array" ref="G105">INDEX($D:$D, MATCH(1, (H105 &gt;= $B:$B) * (H105 &lt;= $C:$C), 0))</f>
        <v>2</v>
      </c>
      <c r="H105" s="28">
        <v>45922</v>
      </c>
      <c r="I105" s="29" t="s">
        <v>78</v>
      </c>
      <c r="J105" s="29">
        <v>1</v>
      </c>
      <c r="K105" s="30" t="s">
        <v>102</v>
      </c>
      <c r="M105" s="43" t="str">
        <v>Unreal</v>
      </c>
      <c r="N105" s="43" t="str">
        <f t="shared" si="11"/>
        <v>*unreal*</v>
      </c>
      <c r="O105" s="43" t="str">
        <v>*add*</v>
      </c>
      <c r="P105" s="43">
        <f t="shared" si="12"/>
        <v>69</v>
      </c>
      <c r="Q105" s="43" t="str">
        <v>*project*</v>
      </c>
      <c r="R105" s="43">
        <v>24</v>
      </c>
      <c r="S105" s="43">
        <f t="shared" si="13"/>
        <v>1.57</v>
      </c>
      <c r="T105" s="43">
        <f t="shared" si="14"/>
        <v>1.02</v>
      </c>
    </row>
    <row r="106" spans="7:20">
      <c r="G106" s="27" cm="1">
        <f t="array" ref="G106">INDEX($D:$D, MATCH(1, (H106 &gt;= $B:$B) * (H106 &lt;= $C:$C), 0))</f>
        <v>2</v>
      </c>
      <c r="H106" s="28">
        <v>45922</v>
      </c>
      <c r="I106" s="29" t="s">
        <v>26</v>
      </c>
      <c r="J106" s="29">
        <v>1</v>
      </c>
      <c r="K106" s="30" t="s">
        <v>102</v>
      </c>
      <c r="M106" s="43" t="str">
        <v>Project,</v>
      </c>
      <c r="N106" s="43" t="str">
        <f t="shared" si="11"/>
        <v>*project*</v>
      </c>
      <c r="O106" s="43" t="str">
        <v>*player*</v>
      </c>
      <c r="P106" s="43">
        <f t="shared" si="12"/>
        <v>10</v>
      </c>
      <c r="Q106" s="43" t="str">
        <v>*prep*</v>
      </c>
      <c r="R106" s="43">
        <v>24</v>
      </c>
      <c r="S106" s="43">
        <f t="shared" si="13"/>
        <v>1.57</v>
      </c>
      <c r="T106" s="43">
        <f t="shared" si="14"/>
        <v>1</v>
      </c>
    </row>
    <row r="107" spans="7:20">
      <c r="G107" s="27" cm="1">
        <f t="array" ref="G107">INDEX($D:$D, MATCH(1, (H107 &gt;= $B:$B) * (H107 &lt;= $C:$C), 0))</f>
        <v>2</v>
      </c>
      <c r="H107" s="28">
        <v>45922</v>
      </c>
      <c r="I107" s="29" t="s">
        <v>34</v>
      </c>
      <c r="J107" s="29">
        <v>1</v>
      </c>
      <c r="K107" s="30" t="s">
        <v>102</v>
      </c>
      <c r="M107" s="43" t="str">
        <v>add</v>
      </c>
      <c r="N107" s="43" t="str">
        <f t="shared" si="11"/>
        <v>*add*</v>
      </c>
      <c r="O107" s="43" t="str">
        <v>*sculpt*</v>
      </c>
      <c r="P107" s="43">
        <f t="shared" si="12"/>
        <v>3</v>
      </c>
      <c r="Q107" s="43" t="str">
        <v>*client*</v>
      </c>
      <c r="R107" s="43">
        <v>24</v>
      </c>
      <c r="S107" s="43">
        <f t="shared" si="13"/>
        <v>1.57</v>
      </c>
      <c r="T107" s="43">
        <f t="shared" si="14"/>
        <v>1</v>
      </c>
    </row>
    <row r="108" spans="7:20">
      <c r="G108" s="27" cm="1">
        <f t="array" ref="G108">INDEX($D:$D, MATCH(1, (H108 &gt;= $B:$B) * (H108 &lt;= $C:$C), 0))</f>
        <v>2</v>
      </c>
      <c r="H108" s="28">
        <v>45922</v>
      </c>
      <c r="I108" s="29" t="s">
        <v>28</v>
      </c>
      <c r="J108" s="29">
        <v>1</v>
      </c>
      <c r="K108" s="30" t="s">
        <v>102</v>
      </c>
      <c r="M108" s="43" t="str">
        <v>player,</v>
      </c>
      <c r="N108" s="43" t="str">
        <f t="shared" si="11"/>
        <v>*player*</v>
      </c>
      <c r="O108" s="43" t="str">
        <v>*world*</v>
      </c>
      <c r="P108" s="43">
        <f t="shared" si="12"/>
        <v>11</v>
      </c>
      <c r="Q108" s="43" t="str">
        <v>*added*</v>
      </c>
      <c r="R108" s="43">
        <v>23</v>
      </c>
      <c r="S108" s="43">
        <f t="shared" si="13"/>
        <v>1.59</v>
      </c>
      <c r="T108" s="43">
        <f t="shared" si="14"/>
        <v>1.01</v>
      </c>
    </row>
    <row r="109" spans="7:20">
      <c r="G109" s="33" cm="1">
        <f t="array" ref="G109">INDEX($D:$D, MATCH(1, (H109 &gt;= $B:$B) * (H109 &lt;= $C:$C), 0))</f>
        <v>2</v>
      </c>
      <c r="H109" s="34">
        <v>45922</v>
      </c>
      <c r="I109" s="35" t="s">
        <v>16</v>
      </c>
      <c r="J109" s="35">
        <v>3</v>
      </c>
      <c r="K109" s="36" t="s">
        <v>113</v>
      </c>
      <c r="M109" s="43" t="str">
        <v>sculpt</v>
      </c>
      <c r="N109" s="43" t="str">
        <f t="shared" si="11"/>
        <v>*sculpt*</v>
      </c>
      <c r="O109" s="43" t="str">
        <v>*make*</v>
      </c>
      <c r="P109" s="43">
        <f t="shared" si="12"/>
        <v>6</v>
      </c>
      <c r="Q109" s="43" t="str">
        <v>*music*</v>
      </c>
      <c r="R109" s="43">
        <v>23</v>
      </c>
      <c r="S109" s="43">
        <f t="shared" si="13"/>
        <v>1.59</v>
      </c>
      <c r="T109" s="43">
        <f t="shared" si="14"/>
        <v>1</v>
      </c>
    </row>
    <row r="110" spans="7:20">
      <c r="G110" s="27" cm="1">
        <f t="array" ref="G110">INDEX($D:$D, MATCH(1, (H110 &gt;= $B:$B) * (H110 &lt;= $C:$C), 0))</f>
        <v>2</v>
      </c>
      <c r="H110" s="28">
        <v>45923</v>
      </c>
      <c r="I110" s="29" t="s">
        <v>16</v>
      </c>
      <c r="J110" s="29">
        <v>3</v>
      </c>
      <c r="K110" s="30" t="s">
        <v>114</v>
      </c>
      <c r="M110" s="43" t="str">
        <v>world</v>
      </c>
      <c r="N110" s="43" t="str">
        <f t="shared" si="11"/>
        <v>*world*</v>
      </c>
      <c r="O110" s="43" t="str">
        <v>*in*</v>
      </c>
      <c r="P110" s="43">
        <f t="shared" si="12"/>
        <v>464</v>
      </c>
      <c r="Q110" s="43" t="str">
        <v>*no*</v>
      </c>
      <c r="R110" s="43">
        <v>22</v>
      </c>
      <c r="S110" s="43">
        <f t="shared" si="13"/>
        <v>1.61</v>
      </c>
      <c r="T110" s="43">
        <f t="shared" si="14"/>
        <v>1.01</v>
      </c>
    </row>
    <row r="111" spans="7:20">
      <c r="G111" s="33" cm="1">
        <f t="array" ref="G111">INDEX($D:$D, MATCH(1, (H111 &gt;= $B:$B) * (H111 &lt;= $C:$C), 0))</f>
        <v>2</v>
      </c>
      <c r="H111" s="34">
        <v>45923</v>
      </c>
      <c r="I111" s="35" t="s">
        <v>34</v>
      </c>
      <c r="J111" s="35">
        <v>2</v>
      </c>
      <c r="K111" s="36" t="s">
        <v>115</v>
      </c>
      <c r="M111" s="43" t="str">
        <v>Make</v>
      </c>
      <c r="N111" s="43" t="str">
        <f t="shared" si="11"/>
        <v>*make*</v>
      </c>
      <c r="O111" s="43" t="str">
        <v>*gaea*</v>
      </c>
      <c r="P111" s="43">
        <f t="shared" si="12"/>
        <v>1</v>
      </c>
      <c r="Q111" s="43" t="str">
        <v>*idea*</v>
      </c>
      <c r="R111" s="43">
        <v>21</v>
      </c>
      <c r="S111" s="43">
        <f t="shared" si="13"/>
        <v>1.63</v>
      </c>
      <c r="T111" s="43">
        <f t="shared" si="14"/>
        <v>1.01</v>
      </c>
    </row>
    <row r="112" spans="7:20">
      <c r="G112" s="27" cm="1">
        <f t="array" ref="G112">INDEX($D:$D, MATCH(1, (H112 &gt;= $B:$B) * (H112 &lt;= $C:$C), 0))</f>
        <v>2</v>
      </c>
      <c r="H112" s="28">
        <v>45924</v>
      </c>
      <c r="I112" s="29" t="s">
        <v>78</v>
      </c>
      <c r="J112" s="29">
        <v>1</v>
      </c>
      <c r="K112" s="30" t="s">
        <v>77</v>
      </c>
      <c r="M112" s="43" t="str">
        <v>in</v>
      </c>
      <c r="N112" s="43" t="str">
        <f t="shared" si="11"/>
        <v>*in*</v>
      </c>
      <c r="O112" s="43" t="str">
        <v>*import*</v>
      </c>
      <c r="P112" s="43">
        <f t="shared" si="12"/>
        <v>6</v>
      </c>
      <c r="Q112" s="43" t="str">
        <v>*menu*</v>
      </c>
      <c r="R112" s="43">
        <v>21</v>
      </c>
      <c r="S112" s="43">
        <f t="shared" si="13"/>
        <v>1.63</v>
      </c>
      <c r="T112" s="43">
        <f t="shared" si="14"/>
        <v>1</v>
      </c>
    </row>
    <row r="113" spans="7:20">
      <c r="G113" s="27" cm="1">
        <f t="array" ref="G113">INDEX($D:$D, MATCH(1, (H113 &gt;= $B:$B) * (H113 &lt;= $C:$C), 0))</f>
        <v>2</v>
      </c>
      <c r="H113" s="28">
        <v>45924</v>
      </c>
      <c r="I113" s="29" t="s">
        <v>16</v>
      </c>
      <c r="J113" s="29">
        <v>1</v>
      </c>
      <c r="K113" s="30" t="s">
        <v>77</v>
      </c>
      <c r="M113" s="43" t="str">
        <v>Gaea,</v>
      </c>
      <c r="N113" s="43" t="str">
        <f t="shared" si="11"/>
        <v>*gaea*</v>
      </c>
      <c r="O113" s="43" t="str">
        <v>*to*</v>
      </c>
      <c r="P113" s="43">
        <f t="shared" si="12"/>
        <v>112</v>
      </c>
      <c r="Q113" s="43" t="str">
        <v>*one*</v>
      </c>
      <c r="R113" s="43">
        <v>21</v>
      </c>
      <c r="S113" s="43">
        <f t="shared" si="13"/>
        <v>1.63</v>
      </c>
      <c r="T113" s="43">
        <f t="shared" si="14"/>
        <v>1</v>
      </c>
    </row>
    <row r="114" spans="7:20">
      <c r="G114" s="27" cm="1">
        <f t="array" ref="G114">INDEX($D:$D, MATCH(1, (H114 &gt;= $B:$B) * (H114 &lt;= $C:$C), 0))</f>
        <v>2</v>
      </c>
      <c r="H114" s="28">
        <v>45924</v>
      </c>
      <c r="I114" s="29" t="s">
        <v>24</v>
      </c>
      <c r="J114" s="29">
        <v>1</v>
      </c>
      <c r="K114" s="30" t="s">
        <v>77</v>
      </c>
      <c r="M114" s="43" t="str">
        <v>Import</v>
      </c>
      <c r="N114" s="43" t="str">
        <f t="shared" si="11"/>
        <v>*import*</v>
      </c>
      <c r="O114" s="43" t="str">
        <v>*story*</v>
      </c>
      <c r="P114" s="43">
        <f t="shared" si="12"/>
        <v>5</v>
      </c>
      <c r="Q114" s="43" t="str">
        <v>*design*</v>
      </c>
      <c r="R114" s="43">
        <v>20</v>
      </c>
      <c r="S114" s="43">
        <f t="shared" si="13"/>
        <v>1.65</v>
      </c>
      <c r="T114" s="43">
        <f t="shared" si="14"/>
        <v>1.01</v>
      </c>
    </row>
    <row r="115" spans="7:20">
      <c r="G115" s="27" cm="1">
        <f t="array" ref="G115">INDEX($D:$D, MATCH(1, (H115 &gt;= $B:$B) * (H115 &lt;= $C:$C), 0))</f>
        <v>2</v>
      </c>
      <c r="H115" s="28">
        <v>45924</v>
      </c>
      <c r="I115" s="29" t="s">
        <v>26</v>
      </c>
      <c r="J115" s="29">
        <v>1</v>
      </c>
      <c r="K115" s="30" t="s">
        <v>77</v>
      </c>
      <c r="M115" s="43" t="str">
        <v>to</v>
      </c>
      <c r="N115" s="43" t="str">
        <f t="shared" si="11"/>
        <v>*to*</v>
      </c>
      <c r="O115" s="43" t="str">
        <v>*b*</v>
      </c>
      <c r="P115" s="43">
        <f t="shared" si="12"/>
        <v>131</v>
      </c>
      <c r="Q115" s="43" t="str">
        <v>*lecture*</v>
      </c>
      <c r="R115" s="43">
        <v>20</v>
      </c>
      <c r="S115" s="43">
        <f t="shared" si="13"/>
        <v>1.65</v>
      </c>
      <c r="T115" s="43">
        <f t="shared" si="14"/>
        <v>1</v>
      </c>
    </row>
    <row r="116" spans="7:20">
      <c r="G116" s="27" cm="1">
        <f t="array" ref="G116">INDEX($D:$D, MATCH(1, (H116 &gt;= $B:$B) * (H116 &lt;= $C:$C), 0))</f>
        <v>2</v>
      </c>
      <c r="H116" s="28">
        <v>45924</v>
      </c>
      <c r="I116" s="29" t="s">
        <v>34</v>
      </c>
      <c r="J116" s="29">
        <v>1</v>
      </c>
      <c r="K116" s="30" t="s">
        <v>77</v>
      </c>
      <c r="M116" s="43" t="str">
        <v>Story</v>
      </c>
      <c r="N116" s="43" t="str">
        <f t="shared" si="11"/>
        <v>*story*</v>
      </c>
      <c r="O116" s="43" t="str">
        <v>*mak*</v>
      </c>
      <c r="P116" s="43">
        <f t="shared" si="12"/>
        <v>8</v>
      </c>
      <c r="Q116" s="43" t="str">
        <v>*ui*</v>
      </c>
      <c r="R116" s="43">
        <v>20</v>
      </c>
      <c r="S116" s="43">
        <f t="shared" si="13"/>
        <v>1.65</v>
      </c>
      <c r="T116" s="43">
        <f t="shared" si="14"/>
        <v>1</v>
      </c>
    </row>
    <row r="117" spans="7:20">
      <c r="G117" s="27" cm="1">
        <f t="array" ref="G117">INDEX($D:$D, MATCH(1, (H117 &gt;= $B:$B) * (H117 &lt;= $C:$C), 0))</f>
        <v>2</v>
      </c>
      <c r="H117" s="28">
        <v>45924</v>
      </c>
      <c r="I117" s="29" t="s">
        <v>28</v>
      </c>
      <c r="J117" s="29">
        <v>1</v>
      </c>
      <c r="K117" s="30" t="s">
        <v>77</v>
      </c>
      <c r="M117" s="43" t="str">
        <v>Bible</v>
      </c>
      <c r="N117" s="43" t="str">
        <f t="shared" si="11"/>
        <v>*b*</v>
      </c>
      <c r="O117" s="43" t="str">
        <v>*time*</v>
      </c>
      <c r="P117" s="43">
        <f t="shared" si="12"/>
        <v>10</v>
      </c>
      <c r="Q117" s="43" t="str">
        <v>*perforce*</v>
      </c>
      <c r="R117" s="43">
        <v>19</v>
      </c>
      <c r="S117" s="43">
        <f t="shared" si="13"/>
        <v>1.68</v>
      </c>
      <c r="T117" s="43">
        <f t="shared" si="14"/>
        <v>1.02</v>
      </c>
    </row>
    <row r="118" spans="7:20">
      <c r="G118" s="33" cm="1">
        <f t="array" ref="G118">INDEX($D:$D, MATCH(1, (H118 &gt;= $B:$B) * (H118 &lt;= $C:$C), 0))</f>
        <v>2</v>
      </c>
      <c r="H118" s="34">
        <v>45924</v>
      </c>
      <c r="I118" s="35" t="s">
        <v>16</v>
      </c>
      <c r="J118" s="35">
        <v>2</v>
      </c>
      <c r="K118" s="36" t="s">
        <v>116</v>
      </c>
      <c r="M118" s="43" t="str">
        <v>Making</v>
      </c>
      <c r="N118" s="43" t="str">
        <f t="shared" si="11"/>
        <v>*mak*</v>
      </c>
      <c r="O118" s="43" t="str">
        <v>*log*</v>
      </c>
      <c r="P118" s="43">
        <f t="shared" si="12"/>
        <v>32</v>
      </c>
      <c r="Q118" s="43" t="str">
        <v>*worked*</v>
      </c>
      <c r="R118" s="43">
        <v>19</v>
      </c>
      <c r="S118" s="43">
        <f t="shared" si="13"/>
        <v>1.68</v>
      </c>
      <c r="T118" s="43">
        <f t="shared" si="14"/>
        <v>1</v>
      </c>
    </row>
    <row r="119" spans="7:20">
      <c r="G119" s="33" cm="1">
        <f t="array" ref="G119">INDEX($D:$D, MATCH(1, (H119 &gt;= $B:$B) * (H119 &lt;= $C:$C), 0))</f>
        <v>2</v>
      </c>
      <c r="H119" s="34">
        <v>45925</v>
      </c>
      <c r="I119" s="35" t="s">
        <v>16</v>
      </c>
      <c r="J119" s="35">
        <v>2</v>
      </c>
      <c r="K119" s="36" t="s">
        <v>117</v>
      </c>
      <c r="M119" s="43" t="str">
        <v>time</v>
      </c>
      <c r="N119" s="43" t="str">
        <f t="shared" si="11"/>
        <v>*time*</v>
      </c>
      <c r="O119" s="43" t="str">
        <v>*materials*</v>
      </c>
      <c r="P119" s="43">
        <f t="shared" si="12"/>
        <v>2</v>
      </c>
      <c r="Q119" s="43" t="str">
        <v>*con*</v>
      </c>
      <c r="R119" s="43">
        <v>19</v>
      </c>
      <c r="S119" s="43">
        <f t="shared" si="13"/>
        <v>1.68</v>
      </c>
      <c r="T119" s="43">
        <f t="shared" si="14"/>
        <v>1</v>
      </c>
    </row>
    <row r="120" spans="7:20">
      <c r="G120" s="27" cm="1">
        <f t="array" ref="G120">INDEX($D:$D, MATCH(1, (H120 &gt;= $B:$B) * (H120 &lt;= $C:$C), 0))</f>
        <v>2</v>
      </c>
      <c r="H120" s="28">
        <v>45928</v>
      </c>
      <c r="I120" s="29" t="s">
        <v>16</v>
      </c>
      <c r="J120" s="29">
        <v>3</v>
      </c>
      <c r="K120" s="30" t="s">
        <v>118</v>
      </c>
      <c r="M120" s="43" t="str">
        <v>log</v>
      </c>
      <c r="N120" s="43" t="str">
        <f t="shared" ref="N120:N183" si="15">_xlfn.CONCAT("*",TRIM(CLEAN(_xlfn.REGEXREPLACE(LOWER($M120),$N$51,""))),"*")</f>
        <v>*log*</v>
      </c>
      <c r="O120" s="43" t="str">
        <v>*appearance*</v>
      </c>
      <c r="P120" s="43">
        <f t="shared" ref="P120:P183" si="16">COUNTIF($K$5:$K$1000,$O120)</f>
        <v>1</v>
      </c>
      <c r="Q120" s="43" t="str">
        <v>*get*</v>
      </c>
      <c r="R120" s="43">
        <v>18</v>
      </c>
      <c r="S120" s="43">
        <f t="shared" ref="S120:S183" si="17">ROUND(LOG(COUNTA($M$54:$M$1000)/R120,10),2)</f>
        <v>1.7</v>
      </c>
      <c r="T120" s="43">
        <f t="shared" si="14"/>
        <v>1.01</v>
      </c>
    </row>
    <row r="121" spans="7:20">
      <c r="G121" s="27" cm="1">
        <f t="array" ref="G121">INDEX($D:$D, MATCH(1, (H121 &gt;= $B:$B) * (H121 &lt;= $C:$C), 0))</f>
        <v>2</v>
      </c>
      <c r="H121" s="28">
        <v>45928</v>
      </c>
      <c r="I121" s="29" t="s">
        <v>24</v>
      </c>
      <c r="J121" s="29">
        <v>3</v>
      </c>
      <c r="K121" s="30" t="s">
        <v>119</v>
      </c>
      <c r="M121" s="43" t="str">
        <v>materials</v>
      </c>
      <c r="N121" s="43" t="str">
        <f t="shared" si="15"/>
        <v>*materials*</v>
      </c>
      <c r="O121" s="43" t="str">
        <v>*get*</v>
      </c>
      <c r="P121" s="43">
        <f t="shared" si="16"/>
        <v>18</v>
      </c>
      <c r="Q121" s="43" t="str">
        <v>*strings*</v>
      </c>
      <c r="R121" s="43">
        <v>18</v>
      </c>
      <c r="S121" s="43">
        <f t="shared" si="17"/>
        <v>1.7</v>
      </c>
      <c r="T121" s="43">
        <f t="shared" ref="T121:T184" si="18">ROUND($S121/$S120,2)</f>
        <v>1</v>
      </c>
    </row>
    <row r="122" spans="7:20">
      <c r="G122" s="33" cm="1">
        <f t="array" ref="G122">INDEX($D:$D, MATCH(1, (H122 &gt;= $B:$B) * (H122 &lt;= $C:$C), 0))</f>
        <v>2</v>
      </c>
      <c r="H122" s="34">
        <v>45928</v>
      </c>
      <c r="I122" s="35" t="s">
        <v>26</v>
      </c>
      <c r="J122" s="35">
        <v>1</v>
      </c>
      <c r="K122" s="36" t="s">
        <v>120</v>
      </c>
      <c r="M122" s="43" t="str">
        <v>appearance</v>
      </c>
      <c r="N122" s="43" t="str">
        <f t="shared" si="15"/>
        <v>*appearance*</v>
      </c>
      <c r="O122" s="43" t="str">
        <v>*work*</v>
      </c>
      <c r="P122" s="43">
        <f t="shared" si="16"/>
        <v>112</v>
      </c>
      <c r="Q122" s="43" t="str">
        <v>*key*</v>
      </c>
      <c r="R122" s="43">
        <v>18</v>
      </c>
      <c r="S122" s="43">
        <f t="shared" si="17"/>
        <v>1.7</v>
      </c>
      <c r="T122" s="43">
        <f t="shared" si="18"/>
        <v>1</v>
      </c>
    </row>
    <row r="123" spans="7:20">
      <c r="G123" s="27" cm="1">
        <f t="array" ref="G123">INDEX($D:$D, MATCH(1, (H123 &gt;= $B:$B) * (H123 &lt;= $C:$C), 0))</f>
        <v>2</v>
      </c>
      <c r="H123" s="28">
        <v>45930</v>
      </c>
      <c r="I123" s="29" t="s">
        <v>78</v>
      </c>
      <c r="J123" s="29">
        <v>1</v>
      </c>
      <c r="K123" s="30" t="s">
        <v>121</v>
      </c>
      <c r="M123" s="43" t="str">
        <v>Get</v>
      </c>
      <c r="N123" s="43" t="str">
        <f t="shared" si="15"/>
        <v>*get*</v>
      </c>
      <c r="O123" s="43" t="str">
        <v>*workspace*</v>
      </c>
      <c r="P123" s="43">
        <f t="shared" si="16"/>
        <v>1</v>
      </c>
      <c r="Q123" s="43" t="str">
        <v>*document*</v>
      </c>
      <c r="R123" s="43">
        <v>17</v>
      </c>
      <c r="S123" s="43">
        <f t="shared" si="17"/>
        <v>1.72</v>
      </c>
      <c r="T123" s="43">
        <f t="shared" si="18"/>
        <v>1.01</v>
      </c>
    </row>
    <row r="124" spans="7:20">
      <c r="G124" s="26" cm="1">
        <f t="array" ref="G124">INDEX($D:$D, MATCH(1, (H124 &gt;= $B:$B) * (H124 &lt;= $C:$C), 0))</f>
        <v>2</v>
      </c>
      <c r="H124" s="49">
        <v>45930</v>
      </c>
      <c r="I124" s="29" t="s">
        <v>78</v>
      </c>
      <c r="J124" s="29">
        <v>1</v>
      </c>
      <c r="K124" s="30" t="s">
        <v>122</v>
      </c>
      <c r="M124" s="43" t="str">
        <v>working</v>
      </c>
      <c r="N124" s="43" t="str">
        <f t="shared" si="15"/>
        <v>*work*</v>
      </c>
      <c r="O124" s="43" t="str">
        <v>*logo*</v>
      </c>
      <c r="P124" s="43">
        <f t="shared" si="16"/>
        <v>9</v>
      </c>
      <c r="Q124" s="43" t="str">
        <v>*create*</v>
      </c>
      <c r="R124" s="43">
        <v>17</v>
      </c>
      <c r="S124" s="43">
        <f t="shared" si="17"/>
        <v>1.72</v>
      </c>
      <c r="T124" s="43">
        <f t="shared" si="18"/>
        <v>1</v>
      </c>
    </row>
    <row r="125" spans="7:20">
      <c r="G125" s="26" cm="1">
        <f t="array" ref="G125">INDEX($D:$D, MATCH(1, (H126 &gt;= $B:$B) * (H126 &lt;= $C:$C), 0))</f>
        <v>2</v>
      </c>
      <c r="H125" s="50">
        <v>45930</v>
      </c>
      <c r="I125" s="51" t="s">
        <v>24</v>
      </c>
      <c r="J125" s="51">
        <v>0.5</v>
      </c>
      <c r="K125" s="52" t="s">
        <v>123</v>
      </c>
      <c r="M125" s="43" t="str">
        <v>workspace</v>
      </c>
      <c r="N125" s="43" t="str">
        <f t="shared" si="15"/>
        <v>*workspace*</v>
      </c>
      <c r="O125" s="43" t="str">
        <v>*ui*</v>
      </c>
      <c r="P125" s="43">
        <f t="shared" si="16"/>
        <v>20</v>
      </c>
      <c r="Q125" s="43" t="str">
        <v>*art*</v>
      </c>
      <c r="R125" s="43">
        <v>17</v>
      </c>
      <c r="S125" s="43">
        <f t="shared" si="17"/>
        <v>1.72</v>
      </c>
      <c r="T125" s="43">
        <f t="shared" si="18"/>
        <v>1</v>
      </c>
    </row>
    <row r="126" spans="7:20">
      <c r="G126" s="27">
        <v>2</v>
      </c>
      <c r="H126" s="28">
        <v>45930</v>
      </c>
      <c r="I126" s="29" t="s">
        <v>26</v>
      </c>
      <c r="J126" s="29">
        <v>2</v>
      </c>
      <c r="K126" s="30" t="s">
        <v>124</v>
      </c>
      <c r="M126" s="43" t="str">
        <v>Logo</v>
      </c>
      <c r="N126" s="43" t="str">
        <f t="shared" si="15"/>
        <v>*logo*</v>
      </c>
      <c r="O126" s="43" t="str">
        <v>*reference*</v>
      </c>
      <c r="P126" s="43">
        <f t="shared" si="16"/>
        <v>2</v>
      </c>
      <c r="Q126" s="43" t="str">
        <v>*cutscene*</v>
      </c>
      <c r="R126" s="43">
        <v>17</v>
      </c>
      <c r="S126" s="43">
        <f t="shared" si="17"/>
        <v>1.72</v>
      </c>
      <c r="T126" s="43">
        <f t="shared" si="18"/>
        <v>1</v>
      </c>
    </row>
    <row r="127" spans="7:20">
      <c r="G127" s="33" cm="1">
        <f t="array" ref="G127">INDEX($D:$D, MATCH(1, (H127 &gt;= $B:$B) * (H127 &lt;= $C:$C), 0))</f>
        <v>2</v>
      </c>
      <c r="H127" s="34">
        <v>45930</v>
      </c>
      <c r="I127" s="35" t="s">
        <v>26</v>
      </c>
      <c r="J127" s="35">
        <v>1</v>
      </c>
      <c r="K127" s="36" t="s">
        <v>125</v>
      </c>
      <c r="M127" s="43" t="str">
        <v>Designing</v>
      </c>
      <c r="N127" s="43" t="str">
        <f t="shared" si="15"/>
        <v>*design*</v>
      </c>
      <c r="O127" s="43" t="str">
        <v>*gather*</v>
      </c>
      <c r="P127" s="43">
        <f t="shared" si="16"/>
        <v>2</v>
      </c>
      <c r="Q127" s="43" t="str">
        <v>*vine*</v>
      </c>
      <c r="R127" s="43">
        <v>17</v>
      </c>
      <c r="S127" s="43">
        <f t="shared" si="17"/>
        <v>1.72</v>
      </c>
      <c r="T127" s="43">
        <f t="shared" si="18"/>
        <v>1</v>
      </c>
    </row>
    <row r="128" spans="7:20">
      <c r="G128" s="27" cm="1">
        <f t="array" ref="G128">INDEX($D:$D, MATCH(1, (H129 &gt;= $B:$B) * (H129 &lt;= $C:$C), 0))</f>
        <v>2</v>
      </c>
      <c r="H128" s="28">
        <v>45931</v>
      </c>
      <c r="I128" s="29" t="s">
        <v>16</v>
      </c>
      <c r="J128" s="29">
        <v>1</v>
      </c>
      <c r="K128" s="30" t="s">
        <v>126</v>
      </c>
      <c r="M128" s="43" t="str">
        <v>UI</v>
      </c>
      <c r="N128" s="43" t="str">
        <f t="shared" si="15"/>
        <v>*ui*</v>
      </c>
      <c r="O128" s="43" t="str">
        <v>*licens*</v>
      </c>
      <c r="P128" s="43">
        <f t="shared" si="16"/>
        <v>1</v>
      </c>
      <c r="Q128" s="43" t="str">
        <v>*stone*</v>
      </c>
      <c r="R128" s="43">
        <v>17</v>
      </c>
      <c r="S128" s="43">
        <f t="shared" si="17"/>
        <v>1.72</v>
      </c>
      <c r="T128" s="43">
        <f t="shared" si="18"/>
        <v>1</v>
      </c>
    </row>
    <row r="129" spans="7:20">
      <c r="G129" s="27" cm="1">
        <f t="array" ref="G129">INDEX($D:$D, MATCH(1, (H130 &gt;= $B:$B) * (H130 &lt;= $C:$C), 0))</f>
        <v>2</v>
      </c>
      <c r="H129" s="28">
        <v>45931</v>
      </c>
      <c r="I129" s="29" t="s">
        <v>78</v>
      </c>
      <c r="J129" s="29">
        <v>1</v>
      </c>
      <c r="K129" s="30" t="s">
        <v>77</v>
      </c>
      <c r="M129" s="43" t="str">
        <v>Reference</v>
      </c>
      <c r="N129" s="43" t="str">
        <f t="shared" si="15"/>
        <v>*reference*</v>
      </c>
      <c r="O129" s="43" t="str">
        <v>*collect*</v>
      </c>
      <c r="P129" s="43">
        <f t="shared" si="16"/>
        <v>6</v>
      </c>
      <c r="Q129" s="43" t="str">
        <v>*report*</v>
      </c>
      <c r="R129" s="43">
        <v>16</v>
      </c>
      <c r="S129" s="43">
        <f t="shared" si="17"/>
        <v>1.75</v>
      </c>
      <c r="T129" s="43">
        <f t="shared" si="18"/>
        <v>1.02</v>
      </c>
    </row>
    <row r="130" spans="7:20">
      <c r="G130" s="27" cm="1">
        <f t="array" ref="G130">INDEX($D:$D, MATCH(1, (H131 &gt;= $B:$B) * (H131 &lt;= $C:$C), 0))</f>
        <v>2</v>
      </c>
      <c r="H130" s="28">
        <v>45931</v>
      </c>
      <c r="I130" s="29" t="s">
        <v>16</v>
      </c>
      <c r="J130" s="29">
        <v>1</v>
      </c>
      <c r="K130" s="30" t="s">
        <v>77</v>
      </c>
      <c r="M130" s="43" t="str">
        <v>Gathering</v>
      </c>
      <c r="N130" s="43" t="str">
        <f t="shared" si="15"/>
        <v>*gather*</v>
      </c>
      <c r="O130" s="43" t="str">
        <v>*assets*</v>
      </c>
      <c r="P130" s="43">
        <f t="shared" si="16"/>
        <v>8</v>
      </c>
      <c r="Q130" s="43" t="str">
        <v>*capstone*</v>
      </c>
      <c r="R130" s="43">
        <v>16</v>
      </c>
      <c r="S130" s="43">
        <f t="shared" si="17"/>
        <v>1.75</v>
      </c>
      <c r="T130" s="43">
        <f t="shared" si="18"/>
        <v>1</v>
      </c>
    </row>
    <row r="131" spans="7:20">
      <c r="G131" s="27" cm="1">
        <f t="array" ref="G131">INDEX($D:$D, MATCH(1, (H132 &gt;= $B:$B) * (H132 &lt;= $C:$C), 0))</f>
        <v>2</v>
      </c>
      <c r="H131" s="28">
        <v>45931</v>
      </c>
      <c r="I131" s="29" t="s">
        <v>24</v>
      </c>
      <c r="J131" s="29">
        <v>1</v>
      </c>
      <c r="K131" s="30" t="s">
        <v>77</v>
      </c>
      <c r="M131" s="43" t="str">
        <v>licensing</v>
      </c>
      <c r="N131" s="43" t="str">
        <f t="shared" si="15"/>
        <v>*licens*</v>
      </c>
      <c r="O131" s="43" t="str">
        <v>*organiz*</v>
      </c>
      <c r="P131" s="43">
        <f t="shared" si="16"/>
        <v>6</v>
      </c>
      <c r="Q131" s="43" t="str">
        <v>*proposal*</v>
      </c>
      <c r="R131" s="43">
        <v>15</v>
      </c>
      <c r="S131" s="43">
        <f t="shared" si="17"/>
        <v>1.78</v>
      </c>
      <c r="T131" s="43">
        <f t="shared" si="18"/>
        <v>1.02</v>
      </c>
    </row>
    <row r="132" spans="7:20">
      <c r="G132" s="27" cm="1">
        <f t="array" ref="G132">INDEX($D:$D, MATCH(1, (H133 &gt;= $B:$B) * (H133 &lt;= $C:$C), 0))</f>
        <v>2</v>
      </c>
      <c r="H132" s="28">
        <v>45931</v>
      </c>
      <c r="I132" s="29" t="s">
        <v>26</v>
      </c>
      <c r="J132" s="29">
        <v>1</v>
      </c>
      <c r="K132" s="30" t="s">
        <v>77</v>
      </c>
      <c r="M132" s="43" t="str">
        <v>Collecting</v>
      </c>
      <c r="N132" s="43" t="str">
        <f t="shared" si="15"/>
        <v>*collect*</v>
      </c>
      <c r="O132" s="43" t="str">
        <v>*into*</v>
      </c>
      <c r="P132" s="43">
        <f t="shared" si="16"/>
        <v>8</v>
      </c>
      <c r="Q132" s="43" t="str">
        <v>*brass*</v>
      </c>
      <c r="R132" s="43">
        <v>15</v>
      </c>
      <c r="S132" s="43">
        <f t="shared" si="17"/>
        <v>1.78</v>
      </c>
      <c r="T132" s="43">
        <f t="shared" si="18"/>
        <v>1</v>
      </c>
    </row>
    <row r="133" spans="7:20">
      <c r="G133" s="27" cm="1">
        <f t="array" ref="G133">INDEX($D:$D, MATCH(1, (H134 &gt;= $B:$B) * (H134 &lt;= $C:$C), 0))</f>
        <v>2</v>
      </c>
      <c r="H133" s="28">
        <v>45931</v>
      </c>
      <c r="I133" s="29" t="s">
        <v>34</v>
      </c>
      <c r="J133" s="29">
        <v>1</v>
      </c>
      <c r="K133" s="30" t="s">
        <v>77</v>
      </c>
      <c r="M133" s="43" t="str">
        <v>Assets</v>
      </c>
      <c r="N133" s="43" t="str">
        <f t="shared" si="15"/>
        <v>*assets*</v>
      </c>
      <c r="O133" s="43" t="str">
        <v>*art*</v>
      </c>
      <c r="P133" s="43">
        <f t="shared" si="16"/>
        <v>17</v>
      </c>
      <c r="Q133" s="43" t="str">
        <v>*door*</v>
      </c>
      <c r="R133" s="43">
        <v>15</v>
      </c>
      <c r="S133" s="43">
        <f t="shared" si="17"/>
        <v>1.78</v>
      </c>
      <c r="T133" s="43">
        <f t="shared" si="18"/>
        <v>1</v>
      </c>
    </row>
    <row r="134" spans="7:20">
      <c r="G134" s="27" cm="1">
        <f t="array" ref="G134">INDEX($D:$D, MATCH(1, (H135 &gt;= $B:$B) * (H135 &lt;= $C:$C), 0))</f>
        <v>2</v>
      </c>
      <c r="H134" s="28">
        <v>45931</v>
      </c>
      <c r="I134" s="29" t="s">
        <v>28</v>
      </c>
      <c r="J134" s="29">
        <v>1</v>
      </c>
      <c r="K134" s="30" t="s">
        <v>77</v>
      </c>
      <c r="M134" s="43" t="str">
        <v>organizing</v>
      </c>
      <c r="N134" s="43" t="str">
        <f t="shared" si="15"/>
        <v>*organiz*</v>
      </c>
      <c r="O134" s="43" t="str">
        <v>*writ*</v>
      </c>
      <c r="P134" s="43">
        <f t="shared" si="16"/>
        <v>2</v>
      </c>
      <c r="Q134" s="43" t="str">
        <v>*of*</v>
      </c>
      <c r="R134" s="43">
        <v>15</v>
      </c>
      <c r="S134" s="43">
        <f t="shared" si="17"/>
        <v>1.78</v>
      </c>
      <c r="T134" s="43">
        <f t="shared" si="18"/>
        <v>1</v>
      </c>
    </row>
    <row r="135" spans="7:20">
      <c r="G135" s="33" cm="1">
        <f t="array" ref="G135">INDEX($D:$D, MATCH(1, (H136 &gt;= $B:$B) * (H136 &lt;= $C:$C), 0))</f>
        <v>2</v>
      </c>
      <c r="H135" s="34">
        <v>45931</v>
      </c>
      <c r="I135" s="35" t="s">
        <v>26</v>
      </c>
      <c r="J135" s="35">
        <v>1</v>
      </c>
      <c r="K135" s="36" t="s">
        <v>127</v>
      </c>
      <c r="M135" s="43" t="str">
        <v>into</v>
      </c>
      <c r="N135" s="43" t="str">
        <f t="shared" si="15"/>
        <v>*into*</v>
      </c>
      <c r="O135" s="43" t="str">
        <v>*my*</v>
      </c>
      <c r="P135" s="43">
        <f t="shared" si="16"/>
        <v>3</v>
      </c>
      <c r="Q135" s="43" t="str">
        <v>*ideas*</v>
      </c>
      <c r="R135" s="43">
        <v>14</v>
      </c>
      <c r="S135" s="43">
        <f t="shared" si="17"/>
        <v>1.81</v>
      </c>
      <c r="T135" s="43">
        <f t="shared" si="18"/>
        <v>1.02</v>
      </c>
    </row>
    <row r="136" spans="7:20">
      <c r="G136" s="27" cm="1">
        <f t="array" ref="G136">INDEX($D:$D, MATCH(1, (H137 &gt;= $B:$B) * (H137 &lt;= $C:$C), 0))</f>
        <v>2</v>
      </c>
      <c r="H136" s="28">
        <v>45933</v>
      </c>
      <c r="I136" s="29" t="s">
        <v>34</v>
      </c>
      <c r="J136" s="29">
        <v>4</v>
      </c>
      <c r="K136" s="53" t="s">
        <v>128</v>
      </c>
      <c r="M136" s="43" t="str">
        <v>Work</v>
      </c>
      <c r="N136" s="43" t="str">
        <f t="shared" si="15"/>
        <v>*work*</v>
      </c>
      <c r="O136" s="43" t="str">
        <v>*risk*</v>
      </c>
      <c r="P136" s="43">
        <f t="shared" si="16"/>
        <v>1</v>
      </c>
      <c r="Q136" s="43" t="str">
        <v>*keys*</v>
      </c>
      <c r="R136" s="43">
        <v>14</v>
      </c>
      <c r="S136" s="43">
        <f t="shared" si="17"/>
        <v>1.81</v>
      </c>
      <c r="T136" s="43">
        <f t="shared" si="18"/>
        <v>1</v>
      </c>
    </row>
    <row r="137" spans="7:20">
      <c r="G137" s="33" cm="1">
        <f t="array" ref="G137">INDEX($D:$D, MATCH(1, (H138 &gt;= $B:$B) * (H138 &lt;= $C:$C), 0))</f>
        <v>2</v>
      </c>
      <c r="H137" s="34">
        <v>45933</v>
      </c>
      <c r="I137" s="35" t="s">
        <v>78</v>
      </c>
      <c r="J137" s="35">
        <v>2</v>
      </c>
      <c r="K137" s="54" t="s">
        <v>129</v>
      </c>
      <c r="M137" s="43" t="str">
        <v>art</v>
      </c>
      <c r="N137" s="43" t="str">
        <f t="shared" si="15"/>
        <v>*art*</v>
      </c>
      <c r="O137" s="43" t="str">
        <v>*assessment*</v>
      </c>
      <c r="P137" s="43">
        <f t="shared" si="16"/>
        <v>1</v>
      </c>
      <c r="Q137" s="43" t="str">
        <v>*fixed*</v>
      </c>
      <c r="R137" s="43">
        <v>14</v>
      </c>
      <c r="S137" s="43">
        <f t="shared" si="17"/>
        <v>1.81</v>
      </c>
      <c r="T137" s="43">
        <f t="shared" si="18"/>
        <v>1</v>
      </c>
    </row>
    <row r="138" spans="7:20">
      <c r="G138" s="33">
        <v>2</v>
      </c>
      <c r="H138" s="34">
        <v>45935</v>
      </c>
      <c r="I138" s="35" t="s">
        <v>24</v>
      </c>
      <c r="J138" s="35">
        <v>4.5</v>
      </c>
      <c r="K138" s="36" t="s">
        <v>130</v>
      </c>
      <c r="M138" s="43" t="str">
        <v>Writing</v>
      </c>
      <c r="N138" s="43" t="str">
        <f t="shared" si="15"/>
        <v>*writ*</v>
      </c>
      <c r="O138" s="43" t="str">
        <v>*vision*</v>
      </c>
      <c r="P138" s="43">
        <f t="shared" si="16"/>
        <v>3</v>
      </c>
      <c r="Q138" s="43" t="str">
        <v>*out*</v>
      </c>
      <c r="R138" s="43">
        <v>14</v>
      </c>
      <c r="S138" s="43">
        <f t="shared" si="17"/>
        <v>1.81</v>
      </c>
      <c r="T138" s="43">
        <f t="shared" si="18"/>
        <v>1</v>
      </c>
    </row>
    <row r="139" spans="7:20">
      <c r="G139" s="27" cm="1">
        <f t="array" ref="G139">INDEX($D:$D, MATCH(1, (H139 &gt;= $B:$B) * (H139 &lt;= $C:$C), 0))</f>
        <v>3</v>
      </c>
      <c r="H139" s="28">
        <v>45936</v>
      </c>
      <c r="I139" s="29" t="s">
        <v>24</v>
      </c>
      <c r="J139" s="29">
        <v>2</v>
      </c>
      <c r="K139" s="30" t="s">
        <v>101</v>
      </c>
      <c r="M139" s="43" t="str">
        <v>my</v>
      </c>
      <c r="N139" s="43" t="str">
        <f t="shared" si="15"/>
        <v>*my*</v>
      </c>
      <c r="O139" s="43" t="str">
        <v>*found*</v>
      </c>
      <c r="P139" s="43">
        <f t="shared" si="16"/>
        <v>1</v>
      </c>
      <c r="Q139" s="43" t="str">
        <v>*finish*</v>
      </c>
      <c r="R139" s="43">
        <v>13</v>
      </c>
      <c r="S139" s="43">
        <f t="shared" si="17"/>
        <v>1.84</v>
      </c>
      <c r="T139" s="43">
        <f t="shared" si="18"/>
        <v>1.02</v>
      </c>
    </row>
    <row r="140" spans="7:20">
      <c r="G140" s="27" cm="1">
        <f t="array" ref="G140">INDEX($D:$D, MATCH(1, (H140 &gt;= $B:$B) * (H140 &lt;= $C:$C), 0))</f>
        <v>3</v>
      </c>
      <c r="H140" s="28">
        <v>45936</v>
      </c>
      <c r="I140" s="29" t="s">
        <v>16</v>
      </c>
      <c r="J140" s="29">
        <v>2</v>
      </c>
      <c r="K140" s="30" t="s">
        <v>101</v>
      </c>
      <c r="M140" s="43" t="str">
        <v>Risk</v>
      </c>
      <c r="N140" s="43" t="str">
        <f t="shared" si="15"/>
        <v>*risk*</v>
      </c>
      <c r="O140" s="43" t="str">
        <v>*the*</v>
      </c>
      <c r="P140" s="43">
        <f t="shared" si="16"/>
        <v>27</v>
      </c>
      <c r="Q140" s="43" t="str">
        <v>*sett*</v>
      </c>
      <c r="R140" s="43">
        <v>13</v>
      </c>
      <c r="S140" s="43">
        <f t="shared" si="17"/>
        <v>1.84</v>
      </c>
      <c r="T140" s="43">
        <f t="shared" si="18"/>
        <v>1</v>
      </c>
    </row>
    <row r="141" spans="7:20">
      <c r="G141" s="27" cm="1">
        <f t="array" ref="G141">INDEX($D:$D, MATCH(1, (H141 &gt;= $B:$B) * (H141 &lt;= $C:$C), 0))</f>
        <v>3</v>
      </c>
      <c r="H141" s="28">
        <v>45936</v>
      </c>
      <c r="I141" s="29" t="s">
        <v>78</v>
      </c>
      <c r="J141" s="29">
        <v>1</v>
      </c>
      <c r="K141" s="30" t="s">
        <v>102</v>
      </c>
      <c r="M141" s="43" t="str">
        <v>Assessment</v>
      </c>
      <c r="N141" s="43" t="str">
        <f t="shared" si="15"/>
        <v>*assessment*</v>
      </c>
      <c r="O141" s="43" t="str">
        <v>*issue*</v>
      </c>
      <c r="P141" s="43">
        <f t="shared" si="16"/>
        <v>5</v>
      </c>
      <c r="Q141" s="43" t="str">
        <v>*+*</v>
      </c>
      <c r="R141" s="43">
        <v>13</v>
      </c>
      <c r="S141" s="43">
        <f t="shared" si="17"/>
        <v>1.84</v>
      </c>
      <c r="T141" s="43">
        <f t="shared" si="18"/>
        <v>1</v>
      </c>
    </row>
    <row r="142" spans="7:20">
      <c r="G142" s="27" cm="1">
        <f t="array" ref="G142">INDEX($D:$D, MATCH(1, (H142 &gt;= $B:$B) * (H142 &lt;= $C:$C), 0))</f>
        <v>3</v>
      </c>
      <c r="H142" s="28">
        <v>45936</v>
      </c>
      <c r="I142" s="29" t="s">
        <v>26</v>
      </c>
      <c r="J142" s="29">
        <v>1</v>
      </c>
      <c r="K142" s="30" t="s">
        <v>102</v>
      </c>
      <c r="M142" s="43" t="str">
        <v>Vision</v>
      </c>
      <c r="N142" s="43" t="str">
        <f t="shared" si="15"/>
        <v>*vision*</v>
      </c>
      <c r="O142" s="43" t="str">
        <v>*with*</v>
      </c>
      <c r="P142" s="43">
        <f t="shared" si="16"/>
        <v>38</v>
      </c>
      <c r="Q142" s="43" t="str">
        <v>*not*</v>
      </c>
      <c r="R142" s="43">
        <v>13</v>
      </c>
      <c r="S142" s="43">
        <f t="shared" si="17"/>
        <v>1.84</v>
      </c>
      <c r="T142" s="43">
        <f t="shared" si="18"/>
        <v>1</v>
      </c>
    </row>
    <row r="143" spans="7:20">
      <c r="G143" s="27" cm="1">
        <f t="array" ref="G143">INDEX($D:$D, MATCH(1, (H143 &gt;= $B:$B) * (H143 &lt;= $C:$C), 0))</f>
        <v>3</v>
      </c>
      <c r="H143" s="28">
        <v>45936</v>
      </c>
      <c r="I143" s="29" t="s">
        <v>28</v>
      </c>
      <c r="J143" s="29">
        <v>1</v>
      </c>
      <c r="K143" s="30" t="s">
        <v>102</v>
      </c>
      <c r="M143" s="43" t="str">
        <v>Found</v>
      </c>
      <c r="N143" s="43" t="str">
        <f t="shared" si="15"/>
        <v>*found*</v>
      </c>
      <c r="O143" s="43" t="str">
        <v>*licences*</v>
      </c>
      <c r="P143" s="43">
        <f t="shared" si="16"/>
        <v>1</v>
      </c>
      <c r="Q143" s="43" t="str">
        <v>*asset*</v>
      </c>
      <c r="R143" s="43">
        <v>13</v>
      </c>
      <c r="S143" s="43">
        <f t="shared" si="17"/>
        <v>1.84</v>
      </c>
      <c r="T143" s="43">
        <f t="shared" si="18"/>
        <v>1</v>
      </c>
    </row>
    <row r="144" spans="7:20">
      <c r="G144" s="27" cm="1">
        <f t="array" ref="G144">INDEX($D:$D, MATCH(1, (H144 &gt;= $B:$B) * (H144 &lt;= $C:$C), 0))</f>
        <v>3</v>
      </c>
      <c r="H144" s="28">
        <v>45936</v>
      </c>
      <c r="I144" s="29" t="s">
        <v>34</v>
      </c>
      <c r="J144" s="29">
        <v>1</v>
      </c>
      <c r="K144" s="30" t="s">
        <v>102</v>
      </c>
      <c r="M144" s="43" t="str">
        <v>the</v>
      </c>
      <c r="N144" s="43" t="str">
        <f t="shared" si="15"/>
        <v>*the*</v>
      </c>
      <c r="O144" s="43" t="str">
        <v>*help*</v>
      </c>
      <c r="P144" s="43">
        <f t="shared" si="16"/>
        <v>5</v>
      </c>
      <c r="Q144" s="43" t="str">
        <v>*playtest*</v>
      </c>
      <c r="R144" s="43">
        <v>13</v>
      </c>
      <c r="S144" s="43">
        <f t="shared" si="17"/>
        <v>1.84</v>
      </c>
      <c r="T144" s="43">
        <f t="shared" si="18"/>
        <v>1</v>
      </c>
    </row>
    <row r="145" spans="6:20">
      <c r="G145" s="27" cm="1">
        <f t="array" ref="G145">INDEX($D:$D, MATCH(1, (H145 &gt;= $B:$B) * (H145 &lt;= $C:$C), 0))</f>
        <v>3</v>
      </c>
      <c r="H145" s="28">
        <v>45936</v>
      </c>
      <c r="I145" s="29" t="s">
        <v>24</v>
      </c>
      <c r="J145" s="29">
        <v>3</v>
      </c>
      <c r="K145" s="30" t="s">
        <v>131</v>
      </c>
      <c r="M145" s="43" t="str">
        <v>issue</v>
      </c>
      <c r="N145" s="43" t="str">
        <f t="shared" si="15"/>
        <v>*issue*</v>
      </c>
      <c r="O145" s="43" t="str">
        <v>*set*</v>
      </c>
      <c r="P145" s="43">
        <f t="shared" si="16"/>
        <v>41</v>
      </c>
      <c r="Q145" s="43" t="str">
        <v>*research*</v>
      </c>
      <c r="R145" s="43">
        <v>12</v>
      </c>
      <c r="S145" s="43">
        <f t="shared" si="17"/>
        <v>1.88</v>
      </c>
      <c r="T145" s="43">
        <f t="shared" si="18"/>
        <v>1.02</v>
      </c>
    </row>
    <row r="146" spans="6:20">
      <c r="G146" s="27" cm="1">
        <f t="array" ref="G146">INDEX($D:$D, MATCH(1, (H146 &gt;= $B:$B) * (H146 &lt;= $C:$C), 0))</f>
        <v>3</v>
      </c>
      <c r="H146" s="28">
        <v>45936</v>
      </c>
      <c r="I146" s="29" t="s">
        <v>16</v>
      </c>
      <c r="J146" s="29">
        <v>3</v>
      </c>
      <c r="K146" s="30" t="s">
        <v>132</v>
      </c>
      <c r="M146" s="43" t="str">
        <v>with</v>
      </c>
      <c r="N146" s="43" t="str">
        <f t="shared" si="15"/>
        <v>*with*</v>
      </c>
      <c r="O146" s="43" t="str">
        <v>*up*</v>
      </c>
      <c r="P146" s="43">
        <f t="shared" si="16"/>
        <v>47</v>
      </c>
      <c r="Q146" s="43" t="str">
        <v>*some*</v>
      </c>
      <c r="R146" s="43">
        <v>12</v>
      </c>
      <c r="S146" s="43">
        <f t="shared" si="17"/>
        <v>1.88</v>
      </c>
      <c r="T146" s="43">
        <f t="shared" si="18"/>
        <v>1</v>
      </c>
    </row>
    <row r="147" spans="6:20">
      <c r="G147" s="27" cm="1">
        <f t="array" ref="G147">INDEX($D:$D, MATCH(1, (H147 &gt;= $B:$B) * (H147 &lt;= $C:$C), 0))</f>
        <v>3</v>
      </c>
      <c r="H147" s="28">
        <v>45936</v>
      </c>
      <c r="I147" s="29" t="s">
        <v>26</v>
      </c>
      <c r="J147" s="29">
        <v>2</v>
      </c>
      <c r="K147" s="30" t="s">
        <v>133</v>
      </c>
      <c r="M147" s="43" t="str">
        <v>licences</v>
      </c>
      <c r="N147" s="43" t="str">
        <f t="shared" si="15"/>
        <v>*licences*</v>
      </c>
      <c r="O147" s="43" t="str">
        <v>*on*</v>
      </c>
      <c r="P147" s="43">
        <f t="shared" si="16"/>
        <v>312</v>
      </c>
      <c r="Q147" s="43" t="str">
        <v>*new*</v>
      </c>
      <c r="R147" s="43">
        <v>12</v>
      </c>
      <c r="S147" s="43">
        <f t="shared" si="17"/>
        <v>1.88</v>
      </c>
      <c r="T147" s="43">
        <f t="shared" si="18"/>
        <v>1</v>
      </c>
    </row>
    <row r="148" spans="6:20">
      <c r="G148" s="27" cm="1">
        <f t="array" ref="G148">INDEX($D:$D, MATCH(1, (H148 &gt;= $B:$B) * (H148 &lt;= $C:$C), 0))</f>
        <v>3</v>
      </c>
      <c r="H148" s="28">
        <v>45936</v>
      </c>
      <c r="I148" s="29" t="s">
        <v>78</v>
      </c>
      <c r="J148" s="29">
        <v>2</v>
      </c>
      <c r="K148" s="30" t="s">
        <v>133</v>
      </c>
      <c r="M148" s="43" t="str">
        <v>Help</v>
      </c>
      <c r="N148" s="43" t="str">
        <f t="shared" si="15"/>
        <v>*help*</v>
      </c>
      <c r="O148" s="43" t="str">
        <v>*landscape*</v>
      </c>
      <c r="P148" s="43">
        <f t="shared" si="16"/>
        <v>5</v>
      </c>
      <c r="Q148" s="43" t="str">
        <v>*mode*</v>
      </c>
      <c r="R148" s="43">
        <v>12</v>
      </c>
      <c r="S148" s="43">
        <f t="shared" si="17"/>
        <v>1.88</v>
      </c>
      <c r="T148" s="43">
        <f t="shared" si="18"/>
        <v>1</v>
      </c>
    </row>
    <row r="149" spans="6:20">
      <c r="F149" s="8"/>
      <c r="G149" s="26" cm="1">
        <f t="array" ref="G149">INDEX($D:$D, MATCH(1, (H149 &gt;= $B:$B) * (H149 &lt;= $C:$C), 0))</f>
        <v>3</v>
      </c>
      <c r="H149" s="28">
        <v>45936</v>
      </c>
      <c r="I149" s="29" t="s">
        <v>28</v>
      </c>
      <c r="J149" s="29">
        <v>2</v>
      </c>
      <c r="K149" s="55" t="s">
        <v>133</v>
      </c>
      <c r="M149" s="43" t="str">
        <v>set</v>
      </c>
      <c r="N149" s="43" t="str">
        <f t="shared" si="15"/>
        <v>*set*</v>
      </c>
      <c r="O149" s="43" t="str">
        <v>*material*</v>
      </c>
      <c r="P149" s="43">
        <f t="shared" si="16"/>
        <v>4</v>
      </c>
      <c r="Q149" s="43" t="str">
        <v>*back*</v>
      </c>
      <c r="R149" s="43">
        <v>12</v>
      </c>
      <c r="S149" s="43">
        <f t="shared" si="17"/>
        <v>1.88</v>
      </c>
      <c r="T149" s="43">
        <f t="shared" si="18"/>
        <v>1</v>
      </c>
    </row>
    <row r="150" spans="6:20">
      <c r="G150" s="33" cm="1">
        <f t="array" ref="G150">INDEX($D:$D, MATCH(1, (H150 &gt;= $B:$B) * (H150 &lt;= $C:$C), 0))</f>
        <v>3</v>
      </c>
      <c r="H150" s="34">
        <v>45936</v>
      </c>
      <c r="I150" s="35" t="s">
        <v>26</v>
      </c>
      <c r="J150" s="35">
        <v>1</v>
      </c>
      <c r="K150" s="36" t="s">
        <v>134</v>
      </c>
      <c r="M150" s="43" t="str">
        <v>up</v>
      </c>
      <c r="N150" s="43" t="str">
        <f t="shared" si="15"/>
        <v>*up*</v>
      </c>
      <c r="O150" s="43" t="str">
        <v>*for*</v>
      </c>
      <c r="P150" s="43">
        <f t="shared" si="16"/>
        <v>116</v>
      </c>
      <c r="Q150" s="43" t="str">
        <v>*fixes*</v>
      </c>
      <c r="R150" s="43">
        <v>12</v>
      </c>
      <c r="S150" s="43">
        <f t="shared" si="17"/>
        <v>1.88</v>
      </c>
      <c r="T150" s="43">
        <f t="shared" si="18"/>
        <v>1</v>
      </c>
    </row>
    <row r="151" spans="6:20">
      <c r="G151" s="27" cm="1">
        <f t="array" ref="G151">INDEX($D:$D, MATCH(1, (H151 &gt;= $B:$B) * (H151 &lt;= $C:$C), 0))</f>
        <v>3</v>
      </c>
      <c r="H151" s="28">
        <v>45937</v>
      </c>
      <c r="I151" s="29" t="s">
        <v>24</v>
      </c>
      <c r="J151" s="29">
        <v>2</v>
      </c>
      <c r="K151" s="30" t="s">
        <v>135</v>
      </c>
      <c r="M151" s="43" t="str">
        <v>Perforce,</v>
      </c>
      <c r="N151" s="43" t="str">
        <f t="shared" si="15"/>
        <v>*perforce*</v>
      </c>
      <c r="O151" s="43" t="str">
        <v>*practice*</v>
      </c>
      <c r="P151" s="43">
        <f t="shared" si="16"/>
        <v>38</v>
      </c>
      <c r="Q151" s="43" t="str">
        <v>*chang*</v>
      </c>
      <c r="R151" s="43">
        <v>12</v>
      </c>
      <c r="S151" s="43">
        <f t="shared" si="17"/>
        <v>1.88</v>
      </c>
      <c r="T151" s="43">
        <f t="shared" si="18"/>
        <v>1</v>
      </c>
    </row>
    <row r="152" spans="6:20">
      <c r="G152" s="27" cm="1">
        <f t="array" ref="G152">INDEX($D:$D, MATCH(1, (H152 &gt;= $B:$B) * (H152 &lt;= $C:$C), 0))</f>
        <v>3</v>
      </c>
      <c r="H152" s="28">
        <v>45937</v>
      </c>
      <c r="I152" s="29" t="s">
        <v>24</v>
      </c>
      <c r="J152" s="29">
        <v>1.5</v>
      </c>
      <c r="K152" s="30" t="s">
        <v>136</v>
      </c>
      <c r="M152" s="43" t="str">
        <v>on</v>
      </c>
      <c r="N152" s="43" t="str">
        <f t="shared" si="15"/>
        <v>*on*</v>
      </c>
      <c r="O152" s="43" t="str">
        <v>*investigate*</v>
      </c>
      <c r="P152" s="43">
        <f t="shared" si="16"/>
        <v>2</v>
      </c>
      <c r="Q152" s="43" t="str">
        <v>*unreal*</v>
      </c>
      <c r="R152" s="43">
        <v>11</v>
      </c>
      <c r="S152" s="43">
        <f t="shared" si="17"/>
        <v>1.91</v>
      </c>
      <c r="T152" s="43">
        <f t="shared" si="18"/>
        <v>1.02</v>
      </c>
    </row>
    <row r="153" spans="6:20">
      <c r="G153" s="27" cm="1">
        <f t="array" ref="G153">INDEX($D:$D, MATCH(1, (H153 &gt;= $B:$B) * (H153 &lt;= $C:$C), 0))</f>
        <v>3</v>
      </c>
      <c r="H153" s="28">
        <v>45937</v>
      </c>
      <c r="I153" s="29" t="s">
        <v>78</v>
      </c>
      <c r="J153" s="29">
        <v>1</v>
      </c>
      <c r="K153" s="30" t="s">
        <v>137</v>
      </c>
      <c r="M153" s="43" t="str">
        <v>landscape</v>
      </c>
      <c r="N153" s="43" t="str">
        <f t="shared" si="15"/>
        <v>*landscape*</v>
      </c>
      <c r="O153" s="43" t="str">
        <v>*fix*</v>
      </c>
      <c r="P153" s="43">
        <f t="shared" si="16"/>
        <v>63</v>
      </c>
      <c r="Q153" s="43" t="str">
        <v>*world*</v>
      </c>
      <c r="R153" s="43">
        <v>11</v>
      </c>
      <c r="S153" s="43">
        <f t="shared" si="17"/>
        <v>1.91</v>
      </c>
      <c r="T153" s="43">
        <f t="shared" si="18"/>
        <v>1</v>
      </c>
    </row>
    <row r="154" spans="6:20">
      <c r="G154" s="27" cm="1">
        <f t="array" ref="G154">INDEX($D:$D, MATCH(1, (H154 &gt;= $B:$B) * (H154 &lt;= $C:$C), 0))</f>
        <v>3</v>
      </c>
      <c r="H154" s="28">
        <v>45937</v>
      </c>
      <c r="I154" s="29" t="s">
        <v>16</v>
      </c>
      <c r="J154" s="29">
        <v>3</v>
      </c>
      <c r="K154" s="30" t="s">
        <v>138</v>
      </c>
      <c r="M154" s="43" t="str">
        <v>material</v>
      </c>
      <c r="N154" s="43" t="str">
        <f t="shared" si="15"/>
        <v>*material*</v>
      </c>
      <c r="O154" s="43" t="str">
        <v>*teammates*</v>
      </c>
      <c r="P154" s="43">
        <f t="shared" si="16"/>
        <v>1</v>
      </c>
      <c r="Q154" s="43" t="str">
        <v>*video*</v>
      </c>
      <c r="R154" s="43">
        <v>11</v>
      </c>
      <c r="S154" s="43">
        <f t="shared" si="17"/>
        <v>1.91</v>
      </c>
      <c r="T154" s="43">
        <f t="shared" si="18"/>
        <v>1</v>
      </c>
    </row>
    <row r="155" spans="6:20">
      <c r="G155" s="27" cm="1">
        <f t="array" ref="G155">INDEX($D:$D, MATCH(1, (H155 &gt;= $B:$B) * (H155 &lt;= $C:$C), 0))</f>
        <v>3</v>
      </c>
      <c r="H155" s="28">
        <v>45937</v>
      </c>
      <c r="I155" s="29" t="s">
        <v>24</v>
      </c>
      <c r="J155" s="29">
        <v>2</v>
      </c>
      <c r="K155" s="56" t="s">
        <v>139</v>
      </c>
      <c r="M155" s="43" t="str">
        <v>importing</v>
      </c>
      <c r="N155" s="43" t="str">
        <f t="shared" si="15"/>
        <v>*import*</v>
      </c>
      <c r="O155" s="43" t="str">
        <v>*commit*</v>
      </c>
      <c r="P155" s="43">
        <f t="shared" si="16"/>
        <v>1</v>
      </c>
      <c r="Q155" s="43" t="str">
        <v>*doors*</v>
      </c>
      <c r="R155" s="43">
        <v>11</v>
      </c>
      <c r="S155" s="43">
        <f t="shared" si="17"/>
        <v>1.91</v>
      </c>
      <c r="T155" s="43">
        <f t="shared" si="18"/>
        <v>1</v>
      </c>
    </row>
    <row r="156" spans="6:20">
      <c r="G156" s="33" cm="1">
        <f t="array" ref="G156">INDEX($D:$D, MATCH(1, (H156 &gt;= $B:$B) * (H156 &lt;= $C:$C), 0))</f>
        <v>3</v>
      </c>
      <c r="H156" s="34">
        <v>45937</v>
      </c>
      <c r="I156" s="35" t="s">
        <v>28</v>
      </c>
      <c r="J156" s="35">
        <v>2</v>
      </c>
      <c r="K156" s="36" t="s">
        <v>140</v>
      </c>
      <c r="M156" s="43" t="str">
        <v>(for</v>
      </c>
      <c r="N156" s="43" t="str">
        <f t="shared" si="15"/>
        <v>*for*</v>
      </c>
      <c r="O156" s="43" t="str">
        <v>*errors*</v>
      </c>
      <c r="P156" s="43">
        <f t="shared" si="16"/>
        <v>4</v>
      </c>
      <c r="Q156" s="43" t="str">
        <v>*change*</v>
      </c>
      <c r="R156" s="43">
        <v>11</v>
      </c>
      <c r="S156" s="43">
        <f t="shared" si="17"/>
        <v>1.91</v>
      </c>
      <c r="T156" s="43">
        <f t="shared" si="18"/>
        <v>1</v>
      </c>
    </row>
    <row r="157" spans="6:20">
      <c r="G157" s="27" cm="1">
        <f t="array" ref="G157">INDEX($D:$D, MATCH(1, (H157 &gt;= $B:$B) * (H157 &lt;= $C:$C), 0))</f>
        <v>3</v>
      </c>
      <c r="H157" s="28">
        <v>45937</v>
      </c>
      <c r="I157" s="29" t="s">
        <v>34</v>
      </c>
      <c r="J157" s="29">
        <v>6</v>
      </c>
      <c r="K157" s="30" t="s">
        <v>129</v>
      </c>
      <c r="M157" s="43" t="str">
        <v>practice)</v>
      </c>
      <c r="N157" s="43" t="str">
        <f t="shared" si="15"/>
        <v>*practice*</v>
      </c>
      <c r="O157" s="43" t="str">
        <v>*implement*</v>
      </c>
      <c r="P157" s="43">
        <f t="shared" si="16"/>
        <v>7</v>
      </c>
      <c r="Q157" s="43" t="str">
        <v>*day*</v>
      </c>
      <c r="R157" s="43">
        <v>11</v>
      </c>
      <c r="S157" s="43">
        <f t="shared" si="17"/>
        <v>1.91</v>
      </c>
      <c r="T157" s="43">
        <f t="shared" si="18"/>
        <v>1</v>
      </c>
    </row>
    <row r="158" spans="6:20">
      <c r="G158" s="27" cm="1">
        <f t="array" ref="G158">INDEX($D:$D, MATCH(1, (H158 &gt;= $B:$B) * (H158 &lt;= $C:$C), 0))</f>
        <v>3</v>
      </c>
      <c r="H158" s="28">
        <v>45937</v>
      </c>
      <c r="I158" s="29" t="s">
        <v>26</v>
      </c>
      <c r="J158" s="29">
        <v>2</v>
      </c>
      <c r="K158" s="30" t="s">
        <v>141</v>
      </c>
      <c r="M158" s="43" t="str">
        <v>Investigate</v>
      </c>
      <c r="N158" s="43" t="str">
        <f t="shared" si="15"/>
        <v>*investigate*</v>
      </c>
      <c r="O158" s="43" t="str">
        <v>*parti*</v>
      </c>
      <c r="P158" s="43">
        <f t="shared" si="16"/>
        <v>6</v>
      </c>
      <c r="Q158" s="43" t="str">
        <v>*area*</v>
      </c>
      <c r="R158" s="43">
        <v>11</v>
      </c>
      <c r="S158" s="43">
        <f t="shared" si="17"/>
        <v>1.91</v>
      </c>
      <c r="T158" s="43">
        <f t="shared" si="18"/>
        <v>1</v>
      </c>
    </row>
    <row r="159" spans="6:20">
      <c r="G159" s="27" cm="1">
        <f t="array" ref="G159">INDEX($D:$D, MATCH(1, (H159 &gt;= $B:$B) * (H159 &lt;= $C:$C), 0))</f>
        <v>3</v>
      </c>
      <c r="H159" s="28">
        <v>45938</v>
      </c>
      <c r="I159" s="29" t="s">
        <v>34</v>
      </c>
      <c r="J159" s="29">
        <v>1</v>
      </c>
      <c r="K159" s="30" t="s">
        <v>77</v>
      </c>
      <c r="M159" s="43" t="str">
        <v>fix</v>
      </c>
      <c r="N159" s="43" t="str">
        <f t="shared" si="15"/>
        <v>*fix*</v>
      </c>
      <c r="O159" s="43" t="str">
        <v>*system*</v>
      </c>
      <c r="P159" s="43">
        <f t="shared" si="16"/>
        <v>10</v>
      </c>
      <c r="Q159" s="43" t="str">
        <v>*1*</v>
      </c>
      <c r="R159" s="43">
        <v>10</v>
      </c>
      <c r="S159" s="43">
        <f t="shared" si="17"/>
        <v>1.95</v>
      </c>
      <c r="T159" s="43">
        <f t="shared" si="18"/>
        <v>1.02</v>
      </c>
    </row>
    <row r="160" spans="6:20">
      <c r="G160" s="27" cm="1">
        <f t="array" ref="G160">INDEX($D:$D, MATCH(1, (H160 &gt;= $B:$B) * (H160 &lt;= $C:$C), 0))</f>
        <v>3</v>
      </c>
      <c r="H160" s="28">
        <v>45938</v>
      </c>
      <c r="I160" s="29" t="s">
        <v>26</v>
      </c>
      <c r="J160" s="29">
        <v>1</v>
      </c>
      <c r="K160" s="30" t="s">
        <v>77</v>
      </c>
      <c r="M160" s="43" t="str">
        <v>teammates</v>
      </c>
      <c r="N160" s="43" t="str">
        <f t="shared" si="15"/>
        <v>*teammates*</v>
      </c>
      <c r="O160" s="43" t="str">
        <v>*engine*</v>
      </c>
      <c r="P160" s="43">
        <f t="shared" si="16"/>
        <v>3</v>
      </c>
      <c r="Q160" s="43" t="str">
        <v>*player*</v>
      </c>
      <c r="R160" s="43">
        <v>10</v>
      </c>
      <c r="S160" s="43">
        <f t="shared" si="17"/>
        <v>1.95</v>
      </c>
      <c r="T160" s="43">
        <f t="shared" si="18"/>
        <v>1</v>
      </c>
    </row>
    <row r="161" spans="7:20">
      <c r="G161" s="27" cm="1">
        <f t="array" ref="G161">INDEX($D:$D, MATCH(1, (H161 &gt;= $B:$B) * (H161 &lt;= $C:$C), 0))</f>
        <v>3</v>
      </c>
      <c r="H161" s="28">
        <v>45938</v>
      </c>
      <c r="I161" s="29" t="s">
        <v>142</v>
      </c>
      <c r="J161" s="29">
        <v>1</v>
      </c>
      <c r="K161" s="30" t="s">
        <v>77</v>
      </c>
      <c r="M161" s="43" t="str">
        <v>commit</v>
      </c>
      <c r="N161" s="43" t="str">
        <f t="shared" si="15"/>
        <v>*commit*</v>
      </c>
      <c r="O161" s="43" t="str">
        <v>*some*</v>
      </c>
      <c r="P161" s="43">
        <f t="shared" si="16"/>
        <v>12</v>
      </c>
      <c r="Q161" s="43" t="str">
        <v>*time*</v>
      </c>
      <c r="R161" s="43">
        <v>10</v>
      </c>
      <c r="S161" s="43">
        <f t="shared" si="17"/>
        <v>1.95</v>
      </c>
      <c r="T161" s="43">
        <f t="shared" si="18"/>
        <v>1</v>
      </c>
    </row>
    <row r="162" spans="7:20">
      <c r="G162" s="27" cm="1">
        <f t="array" ref="G162">INDEX($D:$D, MATCH(1, (H162 &gt;= $B:$B) * (H162 &lt;= $C:$C), 0))</f>
        <v>3</v>
      </c>
      <c r="H162" s="28">
        <v>45938</v>
      </c>
      <c r="I162" s="29" t="s">
        <v>78</v>
      </c>
      <c r="J162" s="29">
        <v>1</v>
      </c>
      <c r="K162" s="56" t="s">
        <v>77</v>
      </c>
      <c r="M162" s="43" t="str">
        <v>errors</v>
      </c>
      <c r="N162" s="43" t="str">
        <f t="shared" si="15"/>
        <v>*errors*</v>
      </c>
      <c r="O162" s="43" t="str">
        <v>*foliage*</v>
      </c>
      <c r="P162" s="43">
        <f t="shared" si="16"/>
        <v>5</v>
      </c>
      <c r="Q162" s="43" t="str">
        <v>*system*</v>
      </c>
      <c r="R162" s="43">
        <v>10</v>
      </c>
      <c r="S162" s="43">
        <f t="shared" si="17"/>
        <v>1.95</v>
      </c>
      <c r="T162" s="43">
        <f t="shared" si="18"/>
        <v>1</v>
      </c>
    </row>
    <row r="163" spans="7:20">
      <c r="G163" s="27" cm="1">
        <f t="array" ref="G163">INDEX($D:$D, MATCH(1, (H163 &gt;= $B:$B) * (H163 &lt;= $C:$C), 0))</f>
        <v>3</v>
      </c>
      <c r="H163" s="28">
        <v>45938</v>
      </c>
      <c r="I163" s="29" t="s">
        <v>24</v>
      </c>
      <c r="J163" s="29">
        <v>1</v>
      </c>
      <c r="K163" s="56" t="s">
        <v>77</v>
      </c>
      <c r="M163" s="43" t="str">
        <v>implement</v>
      </c>
      <c r="N163" s="43" t="str">
        <f t="shared" si="15"/>
        <v>*implement*</v>
      </c>
      <c r="O163" s="43" t="str">
        <v>*cave*</v>
      </c>
      <c r="P163" s="43">
        <f t="shared" si="16"/>
        <v>6</v>
      </c>
      <c r="Q163" s="43" t="str">
        <v>*interac*</v>
      </c>
      <c r="R163" s="43">
        <v>10</v>
      </c>
      <c r="S163" s="43">
        <f t="shared" si="17"/>
        <v>1.95</v>
      </c>
      <c r="T163" s="43">
        <f t="shared" si="18"/>
        <v>1</v>
      </c>
    </row>
    <row r="164" spans="7:20">
      <c r="G164" s="27" cm="1">
        <f t="array" ref="G164">INDEX($D:$D, MATCH(1, (H164 &gt;= $B:$B) * (H164 &lt;= $C:$C), 0))</f>
        <v>3</v>
      </c>
      <c r="H164" s="28">
        <v>45938</v>
      </c>
      <c r="I164" s="29" t="s">
        <v>16</v>
      </c>
      <c r="J164" s="29">
        <v>1</v>
      </c>
      <c r="K164" s="30" t="s">
        <v>77</v>
      </c>
      <c r="M164" s="43" t="str">
        <v>partition</v>
      </c>
      <c r="N164" s="43" t="str">
        <f t="shared" si="15"/>
        <v>*parti*</v>
      </c>
      <c r="O164" s="43" t="str">
        <v>*cod*</v>
      </c>
      <c r="P164" s="43">
        <f t="shared" si="16"/>
        <v>5</v>
      </c>
      <c r="Q164" s="43" t="str">
        <v>*model*</v>
      </c>
      <c r="R164" s="43">
        <v>10</v>
      </c>
      <c r="S164" s="43">
        <f t="shared" si="17"/>
        <v>1.95</v>
      </c>
      <c r="T164" s="43">
        <f t="shared" si="18"/>
        <v>1</v>
      </c>
    </row>
    <row r="165" spans="7:20">
      <c r="G165" s="27" cm="1">
        <f t="array" ref="G165">INDEX($D:$D, MATCH(1, (H165 &gt;= $B:$B) * (H165 &lt;= $C:$C), 0))</f>
        <v>3</v>
      </c>
      <c r="H165" s="28">
        <v>45938</v>
      </c>
      <c r="I165" s="29" t="s">
        <v>16</v>
      </c>
      <c r="J165" s="29">
        <v>4</v>
      </c>
      <c r="K165" s="30" t="s">
        <v>143</v>
      </c>
      <c r="M165" s="43" t="str">
        <v>system</v>
      </c>
      <c r="N165" s="43" t="str">
        <f t="shared" si="15"/>
        <v>*system*</v>
      </c>
      <c r="O165" s="43" t="str">
        <v>*riley*</v>
      </c>
      <c r="P165" s="43">
        <f t="shared" si="16"/>
        <v>2</v>
      </c>
      <c r="Q165" s="43" t="str">
        <v>*win*</v>
      </c>
      <c r="R165" s="43">
        <v>10</v>
      </c>
      <c r="S165" s="43">
        <f t="shared" si="17"/>
        <v>1.95</v>
      </c>
      <c r="T165" s="43">
        <f t="shared" si="18"/>
        <v>1</v>
      </c>
    </row>
    <row r="166" spans="7:20">
      <c r="G166" s="27" cm="1">
        <f t="array" ref="G166">INDEX($D:$D, MATCH(1, (H166 &gt;= $B:$B) * (H166 &lt;= $C:$C), 0))</f>
        <v>3</v>
      </c>
      <c r="H166" s="28">
        <v>45939</v>
      </c>
      <c r="I166" s="29" t="s">
        <v>16</v>
      </c>
      <c r="J166" s="29">
        <v>4</v>
      </c>
      <c r="K166" s="30" t="s">
        <v>144</v>
      </c>
      <c r="M166" s="43" t="str">
        <v>Engine</v>
      </c>
      <c r="N166" s="43" t="str">
        <f t="shared" si="15"/>
        <v>*engine*</v>
      </c>
      <c r="O166" s="43" t="str">
        <v>*zack*</v>
      </c>
      <c r="P166" s="43">
        <f t="shared" si="16"/>
        <v>3</v>
      </c>
      <c r="Q166" s="43" t="str">
        <v>*camera*</v>
      </c>
      <c r="R166" s="43">
        <v>10</v>
      </c>
      <c r="S166" s="43">
        <f t="shared" si="17"/>
        <v>1.95</v>
      </c>
      <c r="T166" s="43">
        <f t="shared" si="18"/>
        <v>1</v>
      </c>
    </row>
    <row r="167" spans="7:20">
      <c r="G167" s="27" cm="1">
        <f t="array" ref="G167">INDEX($D:$D, MATCH(1, (H167 &gt;= $B:$B) * (H167 &lt;= $C:$C), 0))</f>
        <v>3</v>
      </c>
      <c r="H167" s="28">
        <v>45941</v>
      </c>
      <c r="I167" s="29" t="s">
        <v>34</v>
      </c>
      <c r="J167" s="29">
        <v>1</v>
      </c>
      <c r="K167" s="30" t="s">
        <v>145</v>
      </c>
      <c r="M167" s="43" t="str">
        <v>some</v>
      </c>
      <c r="N167" s="43" t="str">
        <f t="shared" si="15"/>
        <v>*some*</v>
      </c>
      <c r="O167" s="43" t="str">
        <v>*pract*</v>
      </c>
      <c r="P167" s="43">
        <f t="shared" si="16"/>
        <v>40</v>
      </c>
      <c r="Q167" s="43" t="str">
        <v>*interact*</v>
      </c>
      <c r="R167" s="43">
        <v>10</v>
      </c>
      <c r="S167" s="43">
        <f t="shared" si="17"/>
        <v>1.95</v>
      </c>
      <c r="T167" s="43">
        <f t="shared" si="18"/>
        <v>1</v>
      </c>
    </row>
    <row r="168" spans="7:20" ht="30">
      <c r="G168" s="27" cm="1">
        <f t="array" ref="G168">INDEX($D:$D, MATCH(1, (H168 &gt;= $B:$B) * (H168 &lt;= $C:$C), 0))</f>
        <v>3</v>
      </c>
      <c r="H168" s="28">
        <v>45941</v>
      </c>
      <c r="I168" s="29" t="s">
        <v>16</v>
      </c>
      <c r="J168" s="29">
        <v>3</v>
      </c>
      <c r="K168" s="30" t="s">
        <v>146</v>
      </c>
      <c r="M168" s="43" t="str">
        <v>foliage</v>
      </c>
      <c r="N168" s="43" t="str">
        <f t="shared" si="15"/>
        <v>*foliage*</v>
      </c>
      <c r="O168" s="43" t="str">
        <v>*tool*</v>
      </c>
      <c r="P168" s="43">
        <f t="shared" si="16"/>
        <v>2</v>
      </c>
      <c r="Q168" s="43" t="str">
        <v>*pick*</v>
      </c>
      <c r="R168" s="43">
        <v>10</v>
      </c>
      <c r="S168" s="43">
        <f t="shared" si="17"/>
        <v>1.95</v>
      </c>
      <c r="T168" s="43">
        <f t="shared" si="18"/>
        <v>1</v>
      </c>
    </row>
    <row r="169" spans="7:20">
      <c r="G169" s="27" cm="1">
        <f t="array" ref="G169">INDEX($D:$D, MATCH(1, (H169 &gt;= $B:$B) * (H169 &lt;= $C:$C), 0))</f>
        <v>3</v>
      </c>
      <c r="H169" s="28">
        <v>45941</v>
      </c>
      <c r="I169" s="29" t="s">
        <v>28</v>
      </c>
      <c r="J169" s="29">
        <v>3</v>
      </c>
      <c r="K169" s="30" t="s">
        <v>147</v>
      </c>
      <c r="M169" s="43" t="str">
        <v>cave</v>
      </c>
      <c r="N169" s="43" t="str">
        <f t="shared" si="15"/>
        <v>*cave*</v>
      </c>
      <c r="O169" s="43" t="str">
        <v>*rivers*</v>
      </c>
      <c r="P169" s="43">
        <f t="shared" si="16"/>
        <v>5</v>
      </c>
      <c r="Q169" s="43" t="str">
        <v>*note*</v>
      </c>
      <c r="R169" s="43">
        <v>10</v>
      </c>
      <c r="S169" s="43">
        <f t="shared" si="17"/>
        <v>1.95</v>
      </c>
      <c r="T169" s="43">
        <f t="shared" si="18"/>
        <v>1</v>
      </c>
    </row>
    <row r="170" spans="7:20">
      <c r="G170" s="27" cm="1">
        <f t="array" ref="G170">INDEX($D:$D, MATCH(1, (H170 &gt;= $B:$B) * (H170 &lt;= $C:$C), 0))</f>
        <v>3</v>
      </c>
      <c r="H170" s="28">
        <v>45941</v>
      </c>
      <c r="I170" s="29" t="s">
        <v>24</v>
      </c>
      <c r="J170" s="29">
        <v>3</v>
      </c>
      <c r="K170" s="30" t="s">
        <v>147</v>
      </c>
      <c r="M170" s="43" t="str">
        <v>Coding</v>
      </c>
      <c r="N170" s="43" t="str">
        <f t="shared" si="15"/>
        <v>*cod*</v>
      </c>
      <c r="O170" s="43" t="str">
        <v>*preliminary*</v>
      </c>
      <c r="P170" s="43">
        <f t="shared" si="16"/>
        <v>1</v>
      </c>
      <c r="Q170" s="43" t="str">
        <v>*peg*</v>
      </c>
      <c r="R170" s="43">
        <v>10</v>
      </c>
      <c r="S170" s="43">
        <f t="shared" si="17"/>
        <v>1.95</v>
      </c>
      <c r="T170" s="43">
        <f t="shared" si="18"/>
        <v>1</v>
      </c>
    </row>
    <row r="171" spans="7:20" ht="30">
      <c r="G171" s="27" cm="1">
        <f t="array" ref="G171">INDEX($D:$D, MATCH(1, (H171 &gt;= $B:$B) * (H171 &lt;= $C:$C), 0))</f>
        <v>3</v>
      </c>
      <c r="H171" s="28">
        <v>45942</v>
      </c>
      <c r="I171" s="29" t="s">
        <v>16</v>
      </c>
      <c r="J171" s="29">
        <v>5</v>
      </c>
      <c r="K171" s="30" t="s">
        <v>148</v>
      </c>
      <c r="M171" s="43" t="str">
        <v>Riley</v>
      </c>
      <c r="N171" s="43" t="str">
        <f t="shared" si="15"/>
        <v>*riley*</v>
      </c>
      <c r="O171" s="43" t="str">
        <v>*report*</v>
      </c>
      <c r="P171" s="43">
        <f t="shared" si="16"/>
        <v>16</v>
      </c>
      <c r="Q171" s="43" t="str">
        <v>*packag*</v>
      </c>
      <c r="R171" s="43">
        <v>10</v>
      </c>
      <c r="S171" s="43">
        <f t="shared" si="17"/>
        <v>1.95</v>
      </c>
      <c r="T171" s="43">
        <f t="shared" si="18"/>
        <v>1</v>
      </c>
    </row>
    <row r="172" spans="7:20">
      <c r="G172" s="27" cm="1">
        <f t="array" ref="G172">INDEX($D:$D, MATCH(1, (H172 &gt;= $B:$B) * (H172 &lt;= $C:$C), 0))</f>
        <v>3</v>
      </c>
      <c r="H172" s="28">
        <v>45942</v>
      </c>
      <c r="I172" s="29" t="s">
        <v>24</v>
      </c>
      <c r="J172" s="29">
        <v>2</v>
      </c>
      <c r="K172" s="30" t="s">
        <v>149</v>
      </c>
      <c r="M172" s="43" t="str">
        <v>Zack</v>
      </c>
      <c r="N172" s="43" t="str">
        <f t="shared" si="15"/>
        <v>*zack*</v>
      </c>
      <c r="O172" s="43" t="str">
        <v>*reorganize*</v>
      </c>
      <c r="P172" s="43">
        <f t="shared" si="16"/>
        <v>2</v>
      </c>
      <c r="Q172" s="43" t="str">
        <v>*logo*</v>
      </c>
      <c r="R172" s="43">
        <v>9</v>
      </c>
      <c r="S172" s="43">
        <f t="shared" si="17"/>
        <v>2</v>
      </c>
      <c r="T172" s="43">
        <f t="shared" si="18"/>
        <v>1.03</v>
      </c>
    </row>
    <row r="173" spans="7:20">
      <c r="G173" s="27" cm="1">
        <f t="array" ref="G173">INDEX($D:$D, MATCH(1, (H173 &gt;= $B:$B) * (H173 &lt;= $C:$C), 0))</f>
        <v>3</v>
      </c>
      <c r="H173" s="28">
        <v>45943</v>
      </c>
      <c r="I173" s="29" t="s">
        <v>24</v>
      </c>
      <c r="J173" s="29">
        <v>1</v>
      </c>
      <c r="K173" s="30" t="s">
        <v>150</v>
      </c>
      <c r="M173" s="43" t="str">
        <v>practing</v>
      </c>
      <c r="N173" s="43" t="str">
        <f t="shared" si="15"/>
        <v>*pract*</v>
      </c>
      <c r="O173" s="43" t="str">
        <v>*sharepoint*</v>
      </c>
      <c r="P173" s="43">
        <f t="shared" si="16"/>
        <v>5</v>
      </c>
      <c r="Q173" s="43" t="str">
        <v>*jungle*</v>
      </c>
      <c r="R173" s="43">
        <v>9</v>
      </c>
      <c r="S173" s="43">
        <f t="shared" si="17"/>
        <v>2</v>
      </c>
      <c r="T173" s="43">
        <f t="shared" si="18"/>
        <v>1</v>
      </c>
    </row>
    <row r="174" spans="7:20">
      <c r="G174" s="27" cm="1">
        <f t="array" ref="G174">INDEX($D:$D, MATCH(1, (H174 &gt;= $B:$B) * (H174 &lt;= $C:$C), 0))</f>
        <v>3</v>
      </c>
      <c r="H174" s="28">
        <v>45943</v>
      </c>
      <c r="I174" s="29" t="s">
        <v>34</v>
      </c>
      <c r="J174" s="29">
        <v>1</v>
      </c>
      <c r="K174" s="30" t="s">
        <v>151</v>
      </c>
      <c r="M174" s="43" t="str">
        <v>tool</v>
      </c>
      <c r="N174" s="43" t="str">
        <f t="shared" si="15"/>
        <v>*tool*</v>
      </c>
      <c r="O174" s="43" t="str">
        <v>*paint*</v>
      </c>
      <c r="P174" s="43">
        <f t="shared" si="16"/>
        <v>1</v>
      </c>
      <c r="Q174" s="43" t="str">
        <v>*start*</v>
      </c>
      <c r="R174" s="43">
        <v>9</v>
      </c>
      <c r="S174" s="43">
        <f t="shared" si="17"/>
        <v>2</v>
      </c>
      <c r="T174" s="43">
        <f t="shared" si="18"/>
        <v>1</v>
      </c>
    </row>
    <row r="175" spans="7:20">
      <c r="G175" s="27" cm="1">
        <f t="array" ref="G175">INDEX($D:$D, MATCH(1, (H175 &gt;= $B:$B) * (H175 &lt;= $C:$C), 0))</f>
        <v>3</v>
      </c>
      <c r="H175" s="28">
        <v>45943</v>
      </c>
      <c r="I175" s="29" t="s">
        <v>28</v>
      </c>
      <c r="J175" s="29">
        <v>2.5</v>
      </c>
      <c r="K175" s="30" t="s">
        <v>152</v>
      </c>
      <c r="M175" s="43" t="str">
        <v>Rivers</v>
      </c>
      <c r="N175" s="43" t="str">
        <f t="shared" si="15"/>
        <v>*rivers*</v>
      </c>
      <c r="O175" s="43" t="str">
        <v>*marshland*</v>
      </c>
      <c r="P175" s="43">
        <f t="shared" si="16"/>
        <v>4</v>
      </c>
      <c r="Q175" s="43" t="str">
        <v>*try*</v>
      </c>
      <c r="R175" s="43">
        <v>9</v>
      </c>
      <c r="S175" s="43">
        <f t="shared" si="17"/>
        <v>2</v>
      </c>
      <c r="T175" s="43">
        <f t="shared" si="18"/>
        <v>1</v>
      </c>
    </row>
    <row r="176" spans="7:20">
      <c r="G176" s="27" cm="1">
        <f t="array" ref="G176">INDEX($D:$D, MATCH(1, (H176 &gt;= $B:$B) * (H176 &lt;= $C:$C), 0))</f>
        <v>3</v>
      </c>
      <c r="H176" s="28">
        <v>45944</v>
      </c>
      <c r="I176" s="29" t="s">
        <v>34</v>
      </c>
      <c r="J176" s="29">
        <v>3</v>
      </c>
      <c r="K176" s="30" t="s">
        <v>153</v>
      </c>
      <c r="M176" s="43" t="str">
        <v>Preliminary</v>
      </c>
      <c r="N176" s="43" t="str">
        <f t="shared" si="15"/>
        <v>*preliminary*</v>
      </c>
      <c r="O176" s="43" t="str">
        <v>*jungle*</v>
      </c>
      <c r="P176" s="43">
        <f t="shared" si="16"/>
        <v>9</v>
      </c>
      <c r="Q176" s="43" t="str">
        <v>*edit*</v>
      </c>
      <c r="R176" s="43">
        <v>9</v>
      </c>
      <c r="S176" s="43">
        <f t="shared" si="17"/>
        <v>2</v>
      </c>
      <c r="T176" s="43">
        <f t="shared" si="18"/>
        <v>1</v>
      </c>
    </row>
    <row r="177" spans="7:20">
      <c r="G177" s="27" cm="1">
        <f t="array" ref="G177">INDEX($D:$D, MATCH(1, (H177 &gt;= $B:$B) * (H177 &lt;= $C:$C), 0))</f>
        <v>3</v>
      </c>
      <c r="H177" s="28">
        <v>45944</v>
      </c>
      <c r="I177" s="29" t="s">
        <v>28</v>
      </c>
      <c r="J177" s="29">
        <v>2.5</v>
      </c>
      <c r="K177" s="30" t="s">
        <v>154</v>
      </c>
      <c r="M177" s="43" t="str">
        <v>Report</v>
      </c>
      <c r="N177" s="43" t="str">
        <f t="shared" si="15"/>
        <v>*report*</v>
      </c>
      <c r="O177" s="43" t="str">
        <v>*layers*</v>
      </c>
      <c r="P177" s="43">
        <f t="shared" si="16"/>
        <v>1</v>
      </c>
      <c r="Q177" s="43" t="str">
        <v>*documenta*</v>
      </c>
      <c r="R177" s="43">
        <v>9</v>
      </c>
      <c r="S177" s="43">
        <f t="shared" si="17"/>
        <v>2</v>
      </c>
      <c r="T177" s="43">
        <f t="shared" si="18"/>
        <v>1</v>
      </c>
    </row>
    <row r="178" spans="7:20">
      <c r="G178" s="27" cm="1">
        <f t="array" ref="G178">INDEX($D:$D, MATCH(1, (H178 &gt;= $B:$B) * (H178 &lt;= $C:$C), 0))</f>
        <v>3</v>
      </c>
      <c r="H178" s="28">
        <v>45944</v>
      </c>
      <c r="I178" s="29" t="s">
        <v>16</v>
      </c>
      <c r="J178" s="29">
        <v>3.5</v>
      </c>
      <c r="K178" s="30" t="s">
        <v>155</v>
      </c>
      <c r="M178" s="43" t="str">
        <v>Reorganize</v>
      </c>
      <c r="N178" s="43" t="str">
        <f t="shared" si="15"/>
        <v>*reorganize*</v>
      </c>
      <c r="O178" s="43" t="str">
        <v>*palisade*</v>
      </c>
      <c r="P178" s="43">
        <f t="shared" si="16"/>
        <v>1</v>
      </c>
      <c r="Q178" s="43" t="str">
        <v>*sound*</v>
      </c>
      <c r="R178" s="43">
        <v>9</v>
      </c>
      <c r="S178" s="43">
        <f t="shared" si="17"/>
        <v>2</v>
      </c>
      <c r="T178" s="43">
        <f t="shared" si="18"/>
        <v>1</v>
      </c>
    </row>
    <row r="179" spans="7:20">
      <c r="G179" s="27" cm="1">
        <f t="array" ref="G179">INDEX($D:$D, MATCH(1, (H179 &gt;= $B:$B) * (H179 &lt;= $C:$C), 0))</f>
        <v>3</v>
      </c>
      <c r="H179" s="28">
        <v>45945</v>
      </c>
      <c r="I179" s="29" t="s">
        <v>16</v>
      </c>
      <c r="J179" s="29">
        <v>2</v>
      </c>
      <c r="K179" s="30" t="s">
        <v>156</v>
      </c>
      <c r="M179" s="43" t="str">
        <v>SharePoint</v>
      </c>
      <c r="N179" s="43" t="str">
        <f t="shared" si="15"/>
        <v>*sharepoint*</v>
      </c>
      <c r="O179" s="43" t="str">
        <v>*wall*</v>
      </c>
      <c r="P179" s="43">
        <f t="shared" si="16"/>
        <v>3</v>
      </c>
      <c r="Q179" s="43" t="str">
        <v>*more*</v>
      </c>
      <c r="R179" s="43">
        <v>9</v>
      </c>
      <c r="S179" s="43">
        <f t="shared" si="17"/>
        <v>2</v>
      </c>
      <c r="T179" s="43">
        <f t="shared" si="18"/>
        <v>1</v>
      </c>
    </row>
    <row r="180" spans="7:20">
      <c r="G180" s="27" cm="1">
        <f t="array" ref="G180">INDEX($D:$D, MATCH(1, (H180 &gt;= $B:$B) * (H180 &lt;= $C:$C), 0))</f>
        <v>3</v>
      </c>
      <c r="H180" s="28">
        <v>45945</v>
      </c>
      <c r="I180" s="29" t="s">
        <v>26</v>
      </c>
      <c r="J180" s="29">
        <v>2.5</v>
      </c>
      <c r="K180" s="30" t="s">
        <v>157</v>
      </c>
      <c r="M180" s="43" t="str">
        <v>Paint</v>
      </c>
      <c r="N180" s="43" t="str">
        <f t="shared" si="15"/>
        <v>*paint*</v>
      </c>
      <c r="O180" s="43" t="str">
        <v>*between*</v>
      </c>
      <c r="P180" s="43">
        <f t="shared" si="16"/>
        <v>3</v>
      </c>
      <c r="Q180" s="43" t="str">
        <v>*rest*</v>
      </c>
      <c r="R180" s="43">
        <v>9</v>
      </c>
      <c r="S180" s="43">
        <f t="shared" si="17"/>
        <v>2</v>
      </c>
      <c r="T180" s="43">
        <f t="shared" si="18"/>
        <v>1</v>
      </c>
    </row>
    <row r="181" spans="7:20">
      <c r="G181" s="27" cm="1">
        <f t="array" ref="G181">INDEX($D:$D, MATCH(1, (H181 &gt;= $B:$B) * (H181 &lt;= $C:$C), 0))</f>
        <v>3</v>
      </c>
      <c r="H181" s="28">
        <v>45945</v>
      </c>
      <c r="I181" s="29" t="s">
        <v>24</v>
      </c>
      <c r="J181" s="29">
        <v>1</v>
      </c>
      <c r="K181" s="30" t="s">
        <v>77</v>
      </c>
      <c r="M181" s="43" t="str">
        <v>marshland</v>
      </c>
      <c r="N181" s="43" t="str">
        <f t="shared" si="15"/>
        <v>*marshland*</v>
      </c>
      <c r="O181" s="43" t="str">
        <v>*brass*</v>
      </c>
      <c r="P181" s="43">
        <f t="shared" si="16"/>
        <v>15</v>
      </c>
      <c r="Q181" s="43" t="str">
        <v>*mak*</v>
      </c>
      <c r="R181" s="43">
        <v>8</v>
      </c>
      <c r="S181" s="43">
        <f t="shared" si="17"/>
        <v>2.0499999999999998</v>
      </c>
      <c r="T181" s="43">
        <f t="shared" si="18"/>
        <v>1.03</v>
      </c>
    </row>
    <row r="182" spans="7:20">
      <c r="G182" s="27" cm="1">
        <f t="array" ref="G182">INDEX($D:$D, MATCH(1, (H182 &gt;= $B:$B) * (H182 &lt;= $C:$C), 0))</f>
        <v>3</v>
      </c>
      <c r="H182" s="28">
        <v>45945</v>
      </c>
      <c r="I182" s="29" t="s">
        <v>26</v>
      </c>
      <c r="J182" s="29">
        <v>1</v>
      </c>
      <c r="K182" s="30" t="s">
        <v>77</v>
      </c>
      <c r="M182" s="43" t="str">
        <v>jungle</v>
      </c>
      <c r="N182" s="43" t="str">
        <f t="shared" si="15"/>
        <v>*jungle*</v>
      </c>
      <c r="O182" s="43" t="str">
        <v>*woodwinds*</v>
      </c>
      <c r="P182" s="43">
        <f t="shared" si="16"/>
        <v>2</v>
      </c>
      <c r="Q182" s="43" t="str">
        <v>*assets*</v>
      </c>
      <c r="R182" s="43">
        <v>8</v>
      </c>
      <c r="S182" s="43">
        <f t="shared" si="17"/>
        <v>2.0499999999999998</v>
      </c>
      <c r="T182" s="43">
        <f t="shared" si="18"/>
        <v>1</v>
      </c>
    </row>
    <row r="183" spans="7:20">
      <c r="G183" s="27" cm="1">
        <f t="array" ref="G183">INDEX($D:$D, MATCH(1, (H183 &gt;= $B:$B) * (H183 &lt;= $C:$C), 0))</f>
        <v>3</v>
      </c>
      <c r="H183" s="28">
        <v>45945</v>
      </c>
      <c r="I183" s="29" t="s">
        <v>28</v>
      </c>
      <c r="J183" s="29">
        <v>1</v>
      </c>
      <c r="K183" s="30" t="s">
        <v>77</v>
      </c>
      <c r="M183" s="43" t="str">
        <v>layers,</v>
      </c>
      <c r="N183" s="43" t="str">
        <f t="shared" si="15"/>
        <v>*layers*</v>
      </c>
      <c r="O183" s="43" t="str">
        <v>*experiment*</v>
      </c>
      <c r="P183" s="43">
        <f t="shared" si="16"/>
        <v>2</v>
      </c>
      <c r="Q183" s="43" t="str">
        <v>*into*</v>
      </c>
      <c r="R183" s="43">
        <v>8</v>
      </c>
      <c r="S183" s="43">
        <f t="shared" si="17"/>
        <v>2.0499999999999998</v>
      </c>
      <c r="T183" s="43">
        <f t="shared" si="18"/>
        <v>1</v>
      </c>
    </row>
    <row r="184" spans="7:20">
      <c r="G184" s="27" cm="1">
        <f t="array" ref="G184">INDEX($D:$D, MATCH(1, (H184 &gt;= $B:$B) * (H184 &lt;= $C:$C), 0))</f>
        <v>3</v>
      </c>
      <c r="H184" s="28">
        <v>45945</v>
      </c>
      <c r="I184" s="29" t="s">
        <v>34</v>
      </c>
      <c r="J184" s="29">
        <v>1</v>
      </c>
      <c r="K184" s="30" t="s">
        <v>77</v>
      </c>
      <c r="M184" s="43" t="str">
        <v>rivers,</v>
      </c>
      <c r="N184" s="43" t="str">
        <f t="shared" ref="N184:N247" si="19">_xlfn.CONCAT("*",TRIM(CLEAN(_xlfn.REGEXREPLACE(LOWER($M184),$N$51,""))),"*")</f>
        <v>*rivers*</v>
      </c>
      <c r="O184" s="43" t="str">
        <v>*physics*</v>
      </c>
      <c r="P184" s="43">
        <f t="shared" ref="P184:P247" si="20">COUNTIF($K$5:$K$1000,$O184)</f>
        <v>2</v>
      </c>
      <c r="Q184" s="43" t="str">
        <v>*button*</v>
      </c>
      <c r="R184" s="43">
        <v>8</v>
      </c>
      <c r="S184" s="43">
        <f t="shared" ref="S184:S247" si="21">ROUND(LOG(COUNTA($M$54:$M$1000)/R184,10),2)</f>
        <v>2.0499999999999998</v>
      </c>
      <c r="T184" s="43">
        <f t="shared" si="18"/>
        <v>1</v>
      </c>
    </row>
    <row r="185" spans="7:20">
      <c r="G185" s="27" cm="1">
        <f t="array" ref="G185">INDEX($D:$D, MATCH(1, (H185 &gt;= $B:$B) * (H185 &lt;= $C:$C), 0))</f>
        <v>3</v>
      </c>
      <c r="H185" s="28">
        <v>45945</v>
      </c>
      <c r="I185" s="29" t="s">
        <v>78</v>
      </c>
      <c r="J185" s="29">
        <v>1</v>
      </c>
      <c r="K185" s="30" t="s">
        <v>77</v>
      </c>
      <c r="M185" s="43" t="str">
        <v>palisade</v>
      </c>
      <c r="N185" s="43" t="str">
        <f t="shared" si="19"/>
        <v>*palisade*</v>
      </c>
      <c r="O185" s="43" t="str">
        <v>*actors*</v>
      </c>
      <c r="P185" s="43">
        <f t="shared" si="20"/>
        <v>3</v>
      </c>
      <c r="Q185" s="43" t="str">
        <v>*communicat*</v>
      </c>
      <c r="R185" s="43">
        <v>8</v>
      </c>
      <c r="S185" s="43">
        <f t="shared" si="21"/>
        <v>2.0499999999999998</v>
      </c>
      <c r="T185" s="43">
        <f t="shared" ref="T185:T248" si="22">ROUND($S185/$S184,2)</f>
        <v>1</v>
      </c>
    </row>
    <row r="186" spans="7:20" ht="30">
      <c r="G186" s="27" cm="1">
        <f t="array" ref="G186">INDEX($D:$D, MATCH(1, (H186 &gt;= $B:$B) * (H186 &lt;= $C:$C), 0))</f>
        <v>3</v>
      </c>
      <c r="H186" s="28">
        <v>45945</v>
      </c>
      <c r="I186" s="29" t="s">
        <v>16</v>
      </c>
      <c r="J186" s="29">
        <v>3.5</v>
      </c>
      <c r="K186" s="30" t="s">
        <v>158</v>
      </c>
      <c r="M186" s="43" t="str">
        <v>wall</v>
      </c>
      <c r="N186" s="43" t="str">
        <f t="shared" si="19"/>
        <v>*wall*</v>
      </c>
      <c r="O186" s="43" t="str">
        <v>*walls*</v>
      </c>
      <c r="P186" s="43">
        <f t="shared" si="20"/>
        <v>2</v>
      </c>
      <c r="Q186" s="43" t="str">
        <v>*logic*</v>
      </c>
      <c r="R186" s="43">
        <v>8</v>
      </c>
      <c r="S186" s="43">
        <f t="shared" si="21"/>
        <v>2.0499999999999998</v>
      </c>
      <c r="T186" s="43">
        <f t="shared" si="22"/>
        <v>1</v>
      </c>
    </row>
    <row r="187" spans="7:20">
      <c r="G187" s="27">
        <v>3</v>
      </c>
      <c r="H187" s="28">
        <v>45949</v>
      </c>
      <c r="I187" s="29" t="s">
        <v>24</v>
      </c>
      <c r="J187" s="29">
        <v>2.5</v>
      </c>
      <c r="K187" s="30" t="s">
        <v>159</v>
      </c>
      <c r="M187" s="43" t="str">
        <v>between</v>
      </c>
      <c r="N187" s="43" t="str">
        <f t="shared" si="19"/>
        <v>*between*</v>
      </c>
      <c r="O187" s="43" t="str">
        <v>**</v>
      </c>
      <c r="P187" s="43">
        <f t="shared" si="20"/>
        <v>838</v>
      </c>
      <c r="Q187" s="43" t="str">
        <v>*post*</v>
      </c>
      <c r="R187" s="43">
        <v>8</v>
      </c>
      <c r="S187" s="43">
        <f t="shared" si="21"/>
        <v>2.0499999999999998</v>
      </c>
      <c r="T187" s="43">
        <f t="shared" si="22"/>
        <v>1</v>
      </c>
    </row>
    <row r="188" spans="7:20">
      <c r="G188" s="27" t="str" cm="1">
        <f t="array" ref="G188">INDEX($D:$D, MATCH(1, (H188 &gt;= $B:$B) * (H188 &lt;= $C:$C), 0))</f>
        <v>FALL RECESS</v>
      </c>
      <c r="H188" s="28">
        <v>45951</v>
      </c>
      <c r="I188" s="29" t="s">
        <v>16</v>
      </c>
      <c r="J188" s="29">
        <v>1</v>
      </c>
      <c r="K188" s="30" t="s">
        <v>160</v>
      </c>
      <c r="M188" s="43" t="str">
        <v>brass</v>
      </c>
      <c r="N188" s="43" t="str">
        <f t="shared" si="19"/>
        <v>*brass*</v>
      </c>
      <c r="O188" s="43" t="str">
        <v>*keys*</v>
      </c>
      <c r="P188" s="43">
        <f t="shared" si="20"/>
        <v>14</v>
      </c>
      <c r="Q188" s="43" t="str">
        <v>*menus*</v>
      </c>
      <c r="R188" s="43">
        <v>8</v>
      </c>
      <c r="S188" s="43">
        <f t="shared" si="21"/>
        <v>2.0499999999999998</v>
      </c>
      <c r="T188" s="43">
        <f t="shared" si="22"/>
        <v>1</v>
      </c>
    </row>
    <row r="189" spans="7:20">
      <c r="G189" s="27" t="str" cm="1">
        <f t="array" ref="G189">INDEX($D:$D, MATCH(1, (H189 &gt;= $B:$B) * (H189 &lt;= $C:$C), 0))</f>
        <v>FALL RECESS</v>
      </c>
      <c r="H189" s="28">
        <v>45951</v>
      </c>
      <c r="I189" s="29" t="s">
        <v>78</v>
      </c>
      <c r="J189" s="29">
        <v>2</v>
      </c>
      <c r="K189" s="30" t="s">
        <v>161</v>
      </c>
      <c r="M189" s="43" t="str">
        <v>woodwinds</v>
      </c>
      <c r="N189" s="43" t="str">
        <f t="shared" si="19"/>
        <v>*woodwinds*</v>
      </c>
      <c r="O189" s="43" t="str">
        <v>*strings*</v>
      </c>
      <c r="P189" s="43">
        <f t="shared" si="20"/>
        <v>18</v>
      </c>
      <c r="Q189" s="43" t="str">
        <v>*clean*</v>
      </c>
      <c r="R189" s="43">
        <v>8</v>
      </c>
      <c r="S189" s="43">
        <f t="shared" si="21"/>
        <v>2.0499999999999998</v>
      </c>
      <c r="T189" s="43">
        <f t="shared" si="22"/>
        <v>1</v>
      </c>
    </row>
    <row r="190" spans="7:20">
      <c r="G190" s="27" cm="1">
        <f t="array" ref="G190">INDEX($D:$D, MATCH(1, (H190 &gt;= $B:$B) * (H190 &lt;= $C:$C), 0))</f>
        <v>4</v>
      </c>
      <c r="H190" s="28">
        <v>45952</v>
      </c>
      <c r="I190" s="29" t="s">
        <v>28</v>
      </c>
      <c r="J190" s="29">
        <v>1.5</v>
      </c>
      <c r="K190" s="30" t="s">
        <v>77</v>
      </c>
      <c r="M190" s="43" t="str">
        <v>sprinting,</v>
      </c>
      <c r="N190" s="43" t="str">
        <f t="shared" si="19"/>
        <v>*sprint*</v>
      </c>
      <c r="O190" s="43" t="str">
        <v>*percussion*</v>
      </c>
      <c r="P190" s="43">
        <f t="shared" si="20"/>
        <v>33</v>
      </c>
      <c r="Q190" s="43" t="str">
        <v>*communica*</v>
      </c>
      <c r="R190" s="43">
        <v>8</v>
      </c>
      <c r="S190" s="43">
        <f t="shared" si="21"/>
        <v>2.0499999999999998</v>
      </c>
      <c r="T190" s="43">
        <f t="shared" si="22"/>
        <v>1</v>
      </c>
    </row>
    <row r="191" spans="7:20">
      <c r="G191" s="27" cm="1">
        <f t="array" ref="G191">INDEX($D:$D, MATCH(1, (H191 &gt;= $B:$B) * (H191 &lt;= $C:$C), 0))</f>
        <v>4</v>
      </c>
      <c r="H191" s="28">
        <v>45952</v>
      </c>
      <c r="I191" s="29" t="s">
        <v>34</v>
      </c>
      <c r="J191" s="29">
        <v>1.5</v>
      </c>
      <c r="K191" s="30" t="s">
        <v>77</v>
      </c>
      <c r="M191" s="43" t="str">
        <v>experiment</v>
      </c>
      <c r="N191" s="43" t="str">
        <f t="shared" si="19"/>
        <v>*experiment*</v>
      </c>
      <c r="O191" s="43" t="str">
        <v>*start*</v>
      </c>
      <c r="P191" s="43">
        <f t="shared" si="20"/>
        <v>9</v>
      </c>
      <c r="Q191" s="43" t="str">
        <v>*use*</v>
      </c>
      <c r="R191" s="43">
        <v>8</v>
      </c>
      <c r="S191" s="43">
        <f t="shared" si="21"/>
        <v>2.0499999999999998</v>
      </c>
      <c r="T191" s="43">
        <f t="shared" si="22"/>
        <v>1</v>
      </c>
    </row>
    <row r="192" spans="7:20">
      <c r="G192" s="27" cm="1">
        <f t="array" ref="G192">INDEX($D:$D, MATCH(1, (H192 &gt;= $B:$B) * (H192 &lt;= $C:$C), 0))</f>
        <v>4</v>
      </c>
      <c r="H192" s="28">
        <v>45952</v>
      </c>
      <c r="I192" s="29" t="s">
        <v>78</v>
      </c>
      <c r="J192" s="29">
        <v>1.5</v>
      </c>
      <c r="K192" s="30" t="s">
        <v>77</v>
      </c>
      <c r="M192" s="43" t="str">
        <v>physics</v>
      </c>
      <c r="N192" s="43" t="str">
        <f t="shared" si="19"/>
        <v>*physics*</v>
      </c>
      <c r="O192" s="43" t="str">
        <v>*decorate*</v>
      </c>
      <c r="P192" s="43">
        <f t="shared" si="20"/>
        <v>2</v>
      </c>
      <c r="Q192" s="43" t="str">
        <v>*slid*</v>
      </c>
      <c r="R192" s="43">
        <v>8</v>
      </c>
      <c r="S192" s="43">
        <f t="shared" si="21"/>
        <v>2.0499999999999998</v>
      </c>
      <c r="T192" s="43">
        <f t="shared" si="22"/>
        <v>1</v>
      </c>
    </row>
    <row r="193" spans="7:20">
      <c r="G193" s="27" cm="1">
        <f t="array" ref="G193">INDEX($D:$D, MATCH(1, (H193 &gt;= $B:$B) * (H193 &lt;= $C:$C), 0))</f>
        <v>4</v>
      </c>
      <c r="H193" s="28">
        <v>45952</v>
      </c>
      <c r="I193" s="29" t="s">
        <v>26</v>
      </c>
      <c r="J193" s="29">
        <v>1.5</v>
      </c>
      <c r="K193" s="30" t="s">
        <v>77</v>
      </c>
      <c r="M193" s="43" t="str">
        <v>actors</v>
      </c>
      <c r="N193" s="43" t="str">
        <f t="shared" si="19"/>
        <v>*actors*</v>
      </c>
      <c r="O193" s="43" t="str">
        <v>*restart*</v>
      </c>
      <c r="P193" s="43">
        <f t="shared" si="20"/>
        <v>1</v>
      </c>
      <c r="Q193" s="43" t="str">
        <v>*pegs*</v>
      </c>
      <c r="R193" s="43">
        <v>8</v>
      </c>
      <c r="S193" s="43">
        <f t="shared" si="21"/>
        <v>2.0499999999999998</v>
      </c>
      <c r="T193" s="43">
        <f t="shared" si="22"/>
        <v>1</v>
      </c>
    </row>
    <row r="194" spans="7:20">
      <c r="G194" s="27" cm="1">
        <f t="array" ref="G194">INDEX($D:$D, MATCH(1, (H194 &gt;= $B:$B) * (H194 &lt;= $C:$C), 0))</f>
        <v>4</v>
      </c>
      <c r="H194" s="28">
        <v>45952</v>
      </c>
      <c r="I194" s="29" t="s">
        <v>24</v>
      </c>
      <c r="J194" s="29">
        <v>1.5</v>
      </c>
      <c r="K194" s="30" t="s">
        <v>77</v>
      </c>
      <c r="M194" s="43" t="str">
        <v>walls</v>
      </c>
      <c r="N194" s="43" t="str">
        <f t="shared" si="19"/>
        <v>*walls*</v>
      </c>
      <c r="O194" s="43" t="str">
        <v>*creat*</v>
      </c>
      <c r="P194" s="43">
        <f t="shared" si="20"/>
        <v>28</v>
      </c>
      <c r="Q194" s="43" t="str">
        <v>*challenge*</v>
      </c>
      <c r="R194" s="43">
        <v>8</v>
      </c>
      <c r="S194" s="43">
        <f t="shared" si="21"/>
        <v>2.0499999999999998</v>
      </c>
      <c r="T194" s="43">
        <f t="shared" si="22"/>
        <v>1</v>
      </c>
    </row>
    <row r="195" spans="7:20">
      <c r="G195" s="27" cm="1">
        <f t="array" ref="G195">INDEX($D:$D, MATCH(1, (H195 &gt;= $B:$B) * (H195 &lt;= $C:$C), 0))</f>
        <v>4</v>
      </c>
      <c r="H195" s="28">
        <v>45952</v>
      </c>
      <c r="I195" s="29" t="s">
        <v>16</v>
      </c>
      <c r="J195" s="29">
        <v>1.5</v>
      </c>
      <c r="K195" s="56" t="s">
        <v>77</v>
      </c>
      <c r="M195" s="43" t="str">
        <v>/</v>
      </c>
      <c r="N195" s="43" t="str">
        <f t="shared" si="19"/>
        <v>**</v>
      </c>
      <c r="O195" s="43" t="str">
        <v>*call*</v>
      </c>
      <c r="P195" s="43">
        <f t="shared" si="20"/>
        <v>2</v>
      </c>
      <c r="Q195" s="43" t="str">
        <v>*implement*</v>
      </c>
      <c r="R195" s="43">
        <v>7</v>
      </c>
      <c r="S195" s="43">
        <f t="shared" si="21"/>
        <v>2.11</v>
      </c>
      <c r="T195" s="43">
        <f t="shared" si="22"/>
        <v>1.03</v>
      </c>
    </row>
    <row r="196" spans="7:20">
      <c r="G196" s="27" cm="1">
        <f t="array" ref="G196">INDEX($D:$D, MATCH(1, (H196 &gt;= $B:$B) * (H196 &lt;= $C:$C), 0))</f>
        <v>4</v>
      </c>
      <c r="H196" s="28">
        <v>45952</v>
      </c>
      <c r="I196" s="29" t="s">
        <v>78</v>
      </c>
      <c r="J196" s="29">
        <v>1</v>
      </c>
      <c r="K196" s="30" t="s">
        <v>159</v>
      </c>
      <c r="M196" s="43" t="str">
        <v>keys,</v>
      </c>
      <c r="N196" s="43" t="str">
        <f t="shared" si="19"/>
        <v>*keys*</v>
      </c>
      <c r="O196" s="43" t="str">
        <v>*ricardo*</v>
      </c>
      <c r="P196" s="43">
        <f t="shared" si="20"/>
        <v>2</v>
      </c>
      <c r="Q196" s="43" t="str">
        <v>*tree*</v>
      </c>
      <c r="R196" s="43">
        <v>7</v>
      </c>
      <c r="S196" s="43">
        <f t="shared" si="21"/>
        <v>2.11</v>
      </c>
      <c r="T196" s="43">
        <f t="shared" si="22"/>
        <v>1</v>
      </c>
    </row>
    <row r="197" spans="7:20">
      <c r="G197" s="27" cm="1">
        <f t="array" ref="G197">INDEX($D:$D, MATCH(1, (H197 &gt;= $B:$B) * (H197 &lt;= $C:$C), 0))</f>
        <v>4</v>
      </c>
      <c r="H197" s="28">
        <v>45952</v>
      </c>
      <c r="I197" s="29" t="s">
        <v>26</v>
      </c>
      <c r="J197" s="29">
        <v>2</v>
      </c>
      <c r="K197" s="30" t="s">
        <v>162</v>
      </c>
      <c r="M197" s="43" t="str">
        <v>strings</v>
      </c>
      <c r="N197" s="43" t="str">
        <f t="shared" si="19"/>
        <v>*strings*</v>
      </c>
      <c r="O197" s="43" t="str">
        <v>*sett*</v>
      </c>
      <c r="P197" s="43">
        <f t="shared" si="20"/>
        <v>13</v>
      </c>
      <c r="Q197" s="43" t="str">
        <v>*screen*</v>
      </c>
      <c r="R197" s="43">
        <v>7</v>
      </c>
      <c r="S197" s="43">
        <f t="shared" si="21"/>
        <v>2.11</v>
      </c>
      <c r="T197" s="43">
        <f t="shared" si="22"/>
        <v>1</v>
      </c>
    </row>
    <row r="198" spans="7:20">
      <c r="G198" s="27">
        <v>4</v>
      </c>
      <c r="H198" s="28">
        <v>45952</v>
      </c>
      <c r="I198" s="29" t="s">
        <v>24</v>
      </c>
      <c r="J198" s="29">
        <v>2.5</v>
      </c>
      <c r="K198" s="30" t="s">
        <v>163</v>
      </c>
      <c r="M198" s="43" t="str">
        <v>percussion,</v>
      </c>
      <c r="N198" s="43" t="str">
        <f t="shared" si="19"/>
        <v>*percussion*</v>
      </c>
      <c r="O198" s="43" t="str">
        <v>*bucket*</v>
      </c>
      <c r="P198" s="43">
        <f t="shared" si="20"/>
        <v>3</v>
      </c>
      <c r="Q198" s="43" t="str">
        <v>*gett*</v>
      </c>
      <c r="R198" s="43">
        <v>7</v>
      </c>
      <c r="S198" s="43">
        <f t="shared" si="21"/>
        <v>2.11</v>
      </c>
      <c r="T198" s="43">
        <f t="shared" si="22"/>
        <v>1</v>
      </c>
    </row>
    <row r="199" spans="7:20">
      <c r="G199" s="27" cm="1">
        <f t="array" ref="G199">INDEX($D:$D, MATCH(1, (H199 &gt;= $B:$B) * (H199 &lt;= $C:$C), 0))</f>
        <v>4</v>
      </c>
      <c r="H199" s="28">
        <v>45953</v>
      </c>
      <c r="I199" s="29" t="s">
        <v>16</v>
      </c>
      <c r="J199" s="29">
        <v>2</v>
      </c>
      <c r="K199" s="30" t="s">
        <v>164</v>
      </c>
      <c r="M199" s="43" t="str">
        <v>start</v>
      </c>
      <c r="N199" s="43" t="str">
        <f t="shared" si="19"/>
        <v>*start*</v>
      </c>
      <c r="O199" s="43" t="str">
        <v>*blueprint*</v>
      </c>
      <c r="P199" s="43">
        <f t="shared" si="20"/>
        <v>5</v>
      </c>
      <c r="Q199" s="43" t="str">
        <v>*crystal*</v>
      </c>
      <c r="R199" s="43">
        <v>7</v>
      </c>
      <c r="S199" s="43">
        <f t="shared" si="21"/>
        <v>2.11</v>
      </c>
      <c r="T199" s="43">
        <f t="shared" si="22"/>
        <v>1</v>
      </c>
    </row>
    <row r="200" spans="7:20">
      <c r="G200" s="27" cm="1">
        <f t="array" ref="G200">INDEX($D:$D, MATCH(1, (H200 &gt;= $B:$B) * (H200 &lt;= $C:$C), 0))</f>
        <v>4</v>
      </c>
      <c r="H200" s="28">
        <v>45953</v>
      </c>
      <c r="I200" s="29" t="s">
        <v>26</v>
      </c>
      <c r="J200" s="29">
        <v>2</v>
      </c>
      <c r="K200" s="30" t="s">
        <v>165</v>
      </c>
      <c r="M200" s="43" t="str">
        <v>decorate</v>
      </c>
      <c r="N200" s="43" t="str">
        <f t="shared" si="19"/>
        <v>*decorate*</v>
      </c>
      <c r="O200" s="43" t="str">
        <v>*winds*</v>
      </c>
      <c r="P200" s="43">
        <f t="shared" si="20"/>
        <v>3</v>
      </c>
      <c r="Q200" s="43" t="str">
        <v>*videos*</v>
      </c>
      <c r="R200" s="43">
        <v>7</v>
      </c>
      <c r="S200" s="43">
        <f t="shared" si="21"/>
        <v>2.11</v>
      </c>
      <c r="T200" s="43">
        <f t="shared" si="22"/>
        <v>1</v>
      </c>
    </row>
    <row r="201" spans="7:20">
      <c r="G201" s="27" cm="1">
        <f t="array" ref="G201">INDEX($D:$D, MATCH(1, (H201 &gt;= $B:$B) * (H201 &lt;= $C:$C), 0))</f>
        <v>4</v>
      </c>
      <c r="H201" s="28">
        <v>45953</v>
      </c>
      <c r="I201" s="29" t="s">
        <v>28</v>
      </c>
      <c r="J201" s="29">
        <v>2</v>
      </c>
      <c r="K201" s="30" t="s">
        <v>165</v>
      </c>
      <c r="M201" s="43" t="str">
        <v>restart</v>
      </c>
      <c r="N201" s="43" t="str">
        <f t="shared" si="19"/>
        <v>*restart*</v>
      </c>
      <c r="O201" s="43" t="str">
        <v>*puzzle*</v>
      </c>
      <c r="P201" s="43">
        <f t="shared" si="20"/>
        <v>88</v>
      </c>
      <c r="Q201" s="43" t="str">
        <v>*load*</v>
      </c>
      <c r="R201" s="43">
        <v>7</v>
      </c>
      <c r="S201" s="43">
        <f t="shared" si="21"/>
        <v>2.11</v>
      </c>
      <c r="T201" s="43">
        <f t="shared" si="22"/>
        <v>1</v>
      </c>
    </row>
    <row r="202" spans="7:20">
      <c r="G202" s="27" cm="1">
        <f t="array" ref="G202">INDEX($D:$D, MATCH(1, (H202 &gt;= $B:$B) * (H202 &lt;= $C:$C), 0))</f>
        <v>4</v>
      </c>
      <c r="H202" s="28">
        <v>45953</v>
      </c>
      <c r="I202" s="29" t="s">
        <v>24</v>
      </c>
      <c r="J202" s="29">
        <v>2</v>
      </c>
      <c r="K202" s="30" t="s">
        <v>165</v>
      </c>
      <c r="M202" s="43" t="str">
        <v>creating</v>
      </c>
      <c r="N202" s="43" t="str">
        <f t="shared" si="19"/>
        <v>*creat*</v>
      </c>
      <c r="O202" s="43" t="str">
        <v>*plan*</v>
      </c>
      <c r="P202" s="43">
        <f t="shared" si="20"/>
        <v>90</v>
      </c>
      <c r="Q202" s="43" t="str">
        <v>*error*</v>
      </c>
      <c r="R202" s="43">
        <v>7</v>
      </c>
      <c r="S202" s="43">
        <f t="shared" si="21"/>
        <v>2.11</v>
      </c>
      <c r="T202" s="43">
        <f t="shared" si="22"/>
        <v>1</v>
      </c>
    </row>
    <row r="203" spans="7:20">
      <c r="G203" s="27" cm="1">
        <f t="array" ref="G203">INDEX($D:$D, MATCH(1, (H203 &gt;= $B:$B) * (H203 &lt;= $C:$C), 0))</f>
        <v>4</v>
      </c>
      <c r="H203" s="28">
        <v>45953</v>
      </c>
      <c r="I203" s="29" t="s">
        <v>34</v>
      </c>
      <c r="J203" s="29">
        <v>2</v>
      </c>
      <c r="K203" s="30" t="s">
        <v>165</v>
      </c>
      <c r="M203" s="43" t="str">
        <v>Call</v>
      </c>
      <c r="N203" s="43" t="str">
        <f t="shared" si="19"/>
        <v>*call*</v>
      </c>
      <c r="O203" s="43" t="str">
        <v>*try*</v>
      </c>
      <c r="P203" s="43">
        <f t="shared" si="20"/>
        <v>9</v>
      </c>
      <c r="Q203" s="43" t="str">
        <v>*character*</v>
      </c>
      <c r="R203" s="43">
        <v>7</v>
      </c>
      <c r="S203" s="43">
        <f t="shared" si="21"/>
        <v>2.11</v>
      </c>
      <c r="T203" s="43">
        <f t="shared" si="22"/>
        <v>1</v>
      </c>
    </row>
    <row r="204" spans="7:20">
      <c r="G204" s="27" cm="1">
        <f t="array" ref="G204">INDEX($D:$D, MATCH(1, (H204 &gt;= $B:$B) * (H204 &lt;= $C:$C), 0))</f>
        <v>4</v>
      </c>
      <c r="H204" s="28">
        <v>45953</v>
      </c>
      <c r="I204" s="29" t="s">
        <v>16</v>
      </c>
      <c r="J204" s="29">
        <v>2</v>
      </c>
      <c r="K204" s="30" t="s">
        <v>165</v>
      </c>
      <c r="M204" s="43" t="str">
        <v>team</v>
      </c>
      <c r="N204" s="43" t="str">
        <f t="shared" si="19"/>
        <v>*team*</v>
      </c>
      <c r="O204" s="43" t="str">
        <v>*interac*</v>
      </c>
      <c r="P204" s="43">
        <f t="shared" si="20"/>
        <v>10</v>
      </c>
      <c r="Q204" s="43" t="str">
        <v>*first*</v>
      </c>
      <c r="R204" s="43">
        <v>7</v>
      </c>
      <c r="S204" s="43">
        <f t="shared" si="21"/>
        <v>2.11</v>
      </c>
      <c r="T204" s="43">
        <f t="shared" si="22"/>
        <v>1</v>
      </c>
    </row>
    <row r="205" spans="7:20">
      <c r="G205" s="27" cm="1">
        <f t="array" ref="G205">INDEX($D:$D, MATCH(1, (H205 &gt;= $B:$B) * (H205 &lt;= $C:$C), 0))</f>
        <v>4</v>
      </c>
      <c r="H205" s="28">
        <v>45954</v>
      </c>
      <c r="I205" s="29" t="s">
        <v>16</v>
      </c>
      <c r="J205" s="29">
        <v>1</v>
      </c>
      <c r="K205" s="30" t="s">
        <v>166</v>
      </c>
      <c r="M205" s="43" t="str">
        <v>Ricardo</v>
      </c>
      <c r="N205" s="43" t="str">
        <f t="shared" si="19"/>
        <v>*ricardo*</v>
      </c>
      <c r="O205" s="43" t="str">
        <v>*shells*</v>
      </c>
      <c r="P205" s="43">
        <f t="shared" si="20"/>
        <v>1</v>
      </c>
      <c r="Q205" s="43" t="str">
        <v>*updat*</v>
      </c>
      <c r="R205" s="43">
        <v>7</v>
      </c>
      <c r="S205" s="43">
        <f t="shared" si="21"/>
        <v>2.11</v>
      </c>
      <c r="T205" s="43">
        <f t="shared" si="22"/>
        <v>1</v>
      </c>
    </row>
    <row r="206" spans="7:20">
      <c r="G206" s="27" cm="1">
        <f t="array" ref="G206">INDEX($D:$D, MATCH(1, (H206 &gt;= $B:$B) * (H206 &lt;= $C:$C), 0))</f>
        <v>4</v>
      </c>
      <c r="H206" s="28">
        <v>45954</v>
      </c>
      <c r="I206" s="29" t="s">
        <v>28</v>
      </c>
      <c r="J206" s="29">
        <v>1</v>
      </c>
      <c r="K206" s="30" t="s">
        <v>166</v>
      </c>
      <c r="M206" s="43" t="str">
        <v>Setting</v>
      </c>
      <c r="N206" s="43" t="str">
        <f t="shared" si="19"/>
        <v>*sett*</v>
      </c>
      <c r="O206" s="43" t="str">
        <v>*coral*</v>
      </c>
      <c r="P206" s="43">
        <f t="shared" si="20"/>
        <v>1</v>
      </c>
      <c r="Q206" s="43" t="str">
        <v>*changes*</v>
      </c>
      <c r="R206" s="43">
        <v>7</v>
      </c>
      <c r="S206" s="43">
        <f t="shared" si="21"/>
        <v>2.11</v>
      </c>
      <c r="T206" s="43">
        <f t="shared" si="22"/>
        <v>1</v>
      </c>
    </row>
    <row r="207" spans="7:20">
      <c r="G207" s="27" cm="1">
        <f t="array" ref="G207">INDEX($D:$D, MATCH(1, (H207 &gt;= $B:$B) * (H207 &lt;= $C:$C), 0))</f>
        <v>4</v>
      </c>
      <c r="H207" s="28">
        <v>45954</v>
      </c>
      <c r="I207" s="29" t="s">
        <v>26</v>
      </c>
      <c r="J207" s="29">
        <v>1</v>
      </c>
      <c r="K207" s="30" t="s">
        <v>166</v>
      </c>
      <c r="M207" s="43" t="str">
        <v>bucket</v>
      </c>
      <c r="N207" s="43" t="str">
        <f t="shared" si="19"/>
        <v>*bucket*</v>
      </c>
      <c r="O207" s="43" t="str">
        <v>*palm*</v>
      </c>
      <c r="P207" s="43">
        <f t="shared" si="20"/>
        <v>2</v>
      </c>
      <c r="Q207" s="43" t="str">
        <v>*vines*</v>
      </c>
      <c r="R207" s="43">
        <v>7</v>
      </c>
      <c r="S207" s="43">
        <f t="shared" si="21"/>
        <v>2.11</v>
      </c>
      <c r="T207" s="43">
        <f t="shared" si="22"/>
        <v>1</v>
      </c>
    </row>
    <row r="208" spans="7:20">
      <c r="G208" s="27" cm="1">
        <f t="array" ref="G208">INDEX($D:$D, MATCH(1, (H208 &gt;= $B:$B) * (H208 &lt;= $C:$C), 0))</f>
        <v>4</v>
      </c>
      <c r="H208" s="28">
        <v>45954</v>
      </c>
      <c r="I208" s="29" t="s">
        <v>78</v>
      </c>
      <c r="J208" s="29">
        <v>1</v>
      </c>
      <c r="K208" s="30" t="s">
        <v>166</v>
      </c>
      <c r="M208" s="43" t="str">
        <v>blueprint</v>
      </c>
      <c r="N208" s="43" t="str">
        <f t="shared" si="19"/>
        <v>*blueprint*</v>
      </c>
      <c r="O208" s="43" t="str">
        <v>*trees*</v>
      </c>
      <c r="P208" s="43">
        <f t="shared" si="20"/>
        <v>5</v>
      </c>
      <c r="Q208" s="43" t="str">
        <v>*block*</v>
      </c>
      <c r="R208" s="43">
        <v>7</v>
      </c>
      <c r="S208" s="43">
        <f t="shared" si="21"/>
        <v>2.11</v>
      </c>
      <c r="T208" s="43">
        <f t="shared" si="22"/>
        <v>1</v>
      </c>
    </row>
    <row r="209" spans="1:20">
      <c r="G209" s="27" cm="1">
        <f t="array" ref="G209">INDEX($D:$D, MATCH(1, (H209 &gt;= $B:$B) * (H209 &lt;= $C:$C), 0))</f>
        <v>4</v>
      </c>
      <c r="H209" s="28">
        <v>45954</v>
      </c>
      <c r="I209" s="29" t="s">
        <v>34</v>
      </c>
      <c r="J209" s="29">
        <v>1</v>
      </c>
      <c r="K209" s="30" t="s">
        <v>166</v>
      </c>
      <c r="M209" s="43" t="str">
        <v>for</v>
      </c>
      <c r="N209" s="43" t="str">
        <f t="shared" si="19"/>
        <v>*for*</v>
      </c>
      <c r="O209" s="43" t="str">
        <v>*prepar*</v>
      </c>
      <c r="P209" s="43">
        <f t="shared" si="20"/>
        <v>1</v>
      </c>
      <c r="Q209" s="43" t="str">
        <v>*river*</v>
      </c>
      <c r="R209" s="43">
        <v>7</v>
      </c>
      <c r="S209" s="43">
        <f t="shared" si="21"/>
        <v>2.11</v>
      </c>
      <c r="T209" s="43">
        <f t="shared" si="22"/>
        <v>1</v>
      </c>
    </row>
    <row r="210" spans="1:20">
      <c r="G210" s="27" cm="1">
        <f t="array" ref="G210">INDEX($D:$D, MATCH(1, (H210 &gt;= $B:$B) * (H210 &lt;= $C:$C), 0))</f>
        <v>4</v>
      </c>
      <c r="H210" s="28">
        <v>45954</v>
      </c>
      <c r="I210" s="29" t="s">
        <v>24</v>
      </c>
      <c r="J210" s="29">
        <v>1</v>
      </c>
      <c r="K210" s="30" t="s">
        <v>166</v>
      </c>
      <c r="M210" s="43" t="str">
        <v>winds</v>
      </c>
      <c r="N210" s="43" t="str">
        <f t="shared" si="19"/>
        <v>*winds*</v>
      </c>
      <c r="O210" s="43" t="str">
        <v>*tree*</v>
      </c>
      <c r="P210" s="43">
        <f t="shared" si="20"/>
        <v>7</v>
      </c>
      <c r="Q210" s="43" t="str">
        <v>*session*</v>
      </c>
      <c r="R210" s="43">
        <v>7</v>
      </c>
      <c r="S210" s="43">
        <f t="shared" si="21"/>
        <v>2.11</v>
      </c>
      <c r="T210" s="43">
        <f t="shared" si="22"/>
        <v>1</v>
      </c>
    </row>
    <row r="211" spans="1:20">
      <c r="G211" s="27" cm="1">
        <f t="array" ref="G211">INDEX($D:$D, MATCH(1, (H211 &gt;= $B:$B) * (H211 &lt;= $C:$C), 0))</f>
        <v>4</v>
      </c>
      <c r="H211" s="28">
        <v>45954</v>
      </c>
      <c r="I211" s="29" t="s">
        <v>16</v>
      </c>
      <c r="J211" s="29">
        <v>4.5</v>
      </c>
      <c r="K211" s="30" t="s">
        <v>167</v>
      </c>
      <c r="M211" s="43" t="str">
        <v>puzzle</v>
      </c>
      <c r="N211" s="43" t="str">
        <f t="shared" si="19"/>
        <v>*puzzle*</v>
      </c>
      <c r="O211" s="43" t="str">
        <v>*many*</v>
      </c>
      <c r="P211" s="43">
        <f t="shared" si="20"/>
        <v>5</v>
      </c>
      <c r="Q211" s="43" t="str">
        <v>*upd*</v>
      </c>
      <c r="R211" s="43">
        <v>7</v>
      </c>
      <c r="S211" s="43">
        <f t="shared" si="21"/>
        <v>2.11</v>
      </c>
      <c r="T211" s="43">
        <f t="shared" si="22"/>
        <v>1</v>
      </c>
    </row>
    <row r="212" spans="1:20">
      <c r="G212" s="27" cm="1">
        <f t="array" ref="G212">INDEX($D:$D, MATCH(1, (H212 &gt;= $B:$B) * (H212 &lt;= $C:$C), 0))</f>
        <v>4</v>
      </c>
      <c r="H212" s="28">
        <v>45954</v>
      </c>
      <c r="I212" s="29" t="s">
        <v>24</v>
      </c>
      <c r="J212" s="29">
        <v>4.5</v>
      </c>
      <c r="K212" s="30" t="s">
        <v>167</v>
      </c>
      <c r="M212" s="43" t="str">
        <v>Plan</v>
      </c>
      <c r="N212" s="43" t="str">
        <f t="shared" si="19"/>
        <v>*plan*</v>
      </c>
      <c r="O212" s="43" t="str">
        <v>*new*</v>
      </c>
      <c r="P212" s="43">
        <f t="shared" si="20"/>
        <v>12</v>
      </c>
      <c r="Q212" s="43" t="str">
        <v>*plac*</v>
      </c>
      <c r="R212" s="43">
        <v>7</v>
      </c>
      <c r="S212" s="43">
        <f t="shared" si="21"/>
        <v>2.11</v>
      </c>
      <c r="T212" s="43">
        <f t="shared" si="22"/>
        <v>1</v>
      </c>
    </row>
    <row r="213" spans="1:20">
      <c r="G213" s="27" cm="1">
        <f t="array" ref="G213">INDEX($D:$D, MATCH(1, (H213 &gt;= $B:$B) * (H213 &lt;= $C:$C), 0))</f>
        <v>4</v>
      </c>
      <c r="H213" s="28">
        <v>45954</v>
      </c>
      <c r="I213" s="29" t="s">
        <v>26</v>
      </c>
      <c r="J213" s="29">
        <v>4.5</v>
      </c>
      <c r="K213" s="30" t="s">
        <v>167</v>
      </c>
      <c r="M213" s="43" t="str">
        <v/>
      </c>
      <c r="N213" s="43" t="str">
        <f t="shared" si="19"/>
        <v>**</v>
      </c>
      <c r="O213" s="43" t="str">
        <v>*rocks*</v>
      </c>
      <c r="P213" s="43">
        <f t="shared" si="20"/>
        <v>1</v>
      </c>
      <c r="Q213" s="43" t="str">
        <v>*comple*</v>
      </c>
      <c r="R213" s="43">
        <v>7</v>
      </c>
      <c r="S213" s="43">
        <f t="shared" si="21"/>
        <v>2.11</v>
      </c>
      <c r="T213" s="43">
        <f t="shared" si="22"/>
        <v>1</v>
      </c>
    </row>
    <row r="214" spans="1:20">
      <c r="G214" s="27" cm="1">
        <f t="array" ref="G214">INDEX($D:$D, MATCH(1, (H214 &gt;= $B:$B) * (H214 &lt;= $C:$C), 0))</f>
        <v>4</v>
      </c>
      <c r="H214" s="28">
        <v>45954</v>
      </c>
      <c r="I214" s="29" t="s">
        <v>28</v>
      </c>
      <c r="J214" s="29">
        <v>4.5</v>
      </c>
      <c r="K214" s="30" t="s">
        <v>167</v>
      </c>
      <c r="M214" s="43" t="str">
        <v>Trying</v>
      </c>
      <c r="N214" s="43" t="str">
        <f t="shared" si="19"/>
        <v>*try*</v>
      </c>
      <c r="O214" s="43" t="str">
        <v>*grass*</v>
      </c>
      <c r="P214" s="43">
        <f t="shared" si="20"/>
        <v>1</v>
      </c>
      <c r="Q214" s="43" t="str">
        <v>*innova*</v>
      </c>
      <c r="R214" s="43">
        <v>7</v>
      </c>
      <c r="S214" s="43">
        <f t="shared" si="21"/>
        <v>2.11</v>
      </c>
      <c r="T214" s="43">
        <f t="shared" si="22"/>
        <v>1</v>
      </c>
    </row>
    <row r="215" spans="1:20">
      <c r="G215" s="27" cm="1">
        <f t="array" ref="G215">INDEX($D:$D, MATCH(1, (H215 &gt;= $B:$B) * (H215 &lt;= $C:$C), 0))</f>
        <v>4</v>
      </c>
      <c r="H215" s="28">
        <v>45954</v>
      </c>
      <c r="I215" s="29" t="s">
        <v>78</v>
      </c>
      <c r="J215" s="29">
        <v>4.5</v>
      </c>
      <c r="K215" s="30" t="s">
        <v>167</v>
      </c>
      <c r="M215" s="43" t="str">
        <v>interaction</v>
      </c>
      <c r="N215" s="43" t="str">
        <f t="shared" si="19"/>
        <v>*interac*</v>
      </c>
      <c r="O215" s="43" t="str">
        <v>*little*</v>
      </c>
      <c r="P215" s="43">
        <f t="shared" si="20"/>
        <v>3</v>
      </c>
      <c r="Q215" s="43" t="str">
        <v>*poster*</v>
      </c>
      <c r="R215" s="43">
        <v>7</v>
      </c>
      <c r="S215" s="43">
        <f t="shared" si="21"/>
        <v>2.11</v>
      </c>
      <c r="T215" s="43">
        <f t="shared" si="22"/>
        <v>1</v>
      </c>
    </row>
    <row r="216" spans="1:20">
      <c r="G216" s="27" cm="1">
        <f t="array" ref="G216">INDEX($D:$D, MATCH(1, (H216 &gt;= $B:$B) * (H216 &lt;= $C:$C), 0))</f>
        <v>4</v>
      </c>
      <c r="H216" s="28">
        <v>45954</v>
      </c>
      <c r="I216" s="29" t="s">
        <v>34</v>
      </c>
      <c r="J216" s="29">
        <v>4.5</v>
      </c>
      <c r="K216" s="30" t="s">
        <v>167</v>
      </c>
      <c r="M216" s="43" t="str">
        <v>player</v>
      </c>
      <c r="N216" s="43" t="str">
        <f t="shared" si="19"/>
        <v>*player*</v>
      </c>
      <c r="O216" s="43" t="str">
        <v>*islands*</v>
      </c>
      <c r="P216" s="43">
        <f t="shared" si="20"/>
        <v>1</v>
      </c>
      <c r="Q216" s="43" t="str">
        <v>*bridge*</v>
      </c>
      <c r="R216" s="43">
        <v>7</v>
      </c>
      <c r="S216" s="43">
        <f t="shared" si="21"/>
        <v>2.11</v>
      </c>
      <c r="T216" s="43">
        <f t="shared" si="22"/>
        <v>1</v>
      </c>
    </row>
    <row r="217" spans="1:20">
      <c r="G217" s="27" cm="1">
        <f t="array" ref="G217">INDEX($D:$D, MATCH(1, (H217 &gt;= $B:$B) * (H217 &lt;= $C:$C), 0))</f>
        <v>4</v>
      </c>
      <c r="H217" s="28">
        <v>45958</v>
      </c>
      <c r="I217" s="29" t="s">
        <v>78</v>
      </c>
      <c r="J217" s="29">
        <v>2</v>
      </c>
      <c r="K217" s="30" t="s">
        <v>168</v>
      </c>
      <c r="M217" s="43" t="str">
        <v>shells</v>
      </c>
      <c r="N217" s="43" t="str">
        <f t="shared" si="19"/>
        <v>*shells*</v>
      </c>
      <c r="O217" s="43" t="str">
        <v>*around*</v>
      </c>
      <c r="P217" s="43">
        <f t="shared" si="20"/>
        <v>1</v>
      </c>
      <c r="Q217" s="43" t="str">
        <v>*setup*</v>
      </c>
      <c r="R217" s="43">
        <v>6</v>
      </c>
      <c r="S217" s="43">
        <f t="shared" si="21"/>
        <v>2.1800000000000002</v>
      </c>
      <c r="T217" s="43">
        <f t="shared" si="22"/>
        <v>1.03</v>
      </c>
    </row>
    <row r="218" spans="1:20">
      <c r="G218" s="27" cm="1">
        <f t="array" ref="G218">INDEX($D:$D, MATCH(1, (H218 &gt;= $B:$B) * (H218 &lt;= $C:$C), 0))</f>
        <v>4</v>
      </c>
      <c r="H218" s="28">
        <v>45958</v>
      </c>
      <c r="I218" s="29" t="s">
        <v>26</v>
      </c>
      <c r="J218" s="29">
        <v>2</v>
      </c>
      <c r="K218" s="30" t="s">
        <v>162</v>
      </c>
      <c r="M218" s="43" t="str">
        <v>coral</v>
      </c>
      <c r="N218" s="43" t="str">
        <f t="shared" si="19"/>
        <v>*coral*</v>
      </c>
      <c r="O218" s="43" t="str">
        <v>*put*</v>
      </c>
      <c r="P218" s="43">
        <f t="shared" si="20"/>
        <v>5</v>
      </c>
      <c r="Q218" s="43" t="str">
        <v>*control*</v>
      </c>
      <c r="R218" s="43">
        <v>6</v>
      </c>
      <c r="S218" s="43">
        <f t="shared" si="21"/>
        <v>2.1800000000000002</v>
      </c>
      <c r="T218" s="43">
        <f t="shared" si="22"/>
        <v>1</v>
      </c>
    </row>
    <row r="219" spans="1:20">
      <c r="G219" s="27" cm="1">
        <f t="array" ref="G219">INDEX($D:$D, MATCH(1, (H219 &gt;= $B:$B) * (H219 &lt;= $C:$C), 0))</f>
        <v>4</v>
      </c>
      <c r="H219" s="28">
        <v>45959</v>
      </c>
      <c r="I219" s="29" t="s">
        <v>34</v>
      </c>
      <c r="J219" s="29">
        <v>1</v>
      </c>
      <c r="K219" s="30" t="s">
        <v>77</v>
      </c>
      <c r="M219" s="43" t="str">
        <v>palm</v>
      </c>
      <c r="N219" s="43" t="str">
        <f t="shared" si="19"/>
        <v>*palm*</v>
      </c>
      <c r="O219" s="43" t="str">
        <v>*float*</v>
      </c>
      <c r="P219" s="43">
        <f t="shared" si="20"/>
        <v>3</v>
      </c>
      <c r="Q219" s="43" t="str">
        <v>*island*</v>
      </c>
      <c r="R219" s="43">
        <v>6</v>
      </c>
      <c r="S219" s="43">
        <f t="shared" si="21"/>
        <v>2.1800000000000002</v>
      </c>
      <c r="T219" s="43">
        <f t="shared" si="22"/>
        <v>1</v>
      </c>
    </row>
    <row r="220" spans="1:20">
      <c r="A220" s="1" t="s">
        <v>169</v>
      </c>
      <c r="G220" s="27" cm="1">
        <f t="array" ref="G220">INDEX($D:$D, MATCH(1, (H220 &gt;= $B:$B) * (H220 &lt;= $C:$C), 0))</f>
        <v>4</v>
      </c>
      <c r="H220" s="28">
        <v>45959</v>
      </c>
      <c r="I220" s="29" t="s">
        <v>28</v>
      </c>
      <c r="J220" s="29">
        <v>1</v>
      </c>
      <c r="K220" s="30" t="s">
        <v>77</v>
      </c>
      <c r="M220" s="43" t="str">
        <v>trees</v>
      </c>
      <c r="N220" s="43" t="str">
        <f t="shared" si="19"/>
        <v>*trees*</v>
      </c>
      <c r="O220" s="43" t="str">
        <v>*bridges*</v>
      </c>
      <c r="P220" s="43">
        <f t="shared" si="20"/>
        <v>6</v>
      </c>
      <c r="Q220" s="43" t="str">
        <v>*team*</v>
      </c>
      <c r="R220" s="43">
        <v>6</v>
      </c>
      <c r="S220" s="43">
        <f t="shared" si="21"/>
        <v>2.1800000000000002</v>
      </c>
      <c r="T220" s="43">
        <f t="shared" si="22"/>
        <v>1</v>
      </c>
    </row>
    <row r="221" spans="1:20">
      <c r="G221" s="27" cm="1">
        <f t="array" ref="G221">INDEX($D:$D, MATCH(1, (H221 &gt;= $B:$B) * (H221 &lt;= $C:$C), 0))</f>
        <v>4</v>
      </c>
      <c r="H221" s="28">
        <v>45959</v>
      </c>
      <c r="I221" s="29" t="s">
        <v>26</v>
      </c>
      <c r="J221" s="29">
        <v>1</v>
      </c>
      <c r="K221" s="30" t="s">
        <v>77</v>
      </c>
      <c r="M221" s="43" t="str">
        <v>preparing</v>
      </c>
      <c r="N221" s="43" t="str">
        <f t="shared" si="19"/>
        <v>*prepar*</v>
      </c>
      <c r="O221" s="43" t="str">
        <v>*center*</v>
      </c>
      <c r="P221" s="43">
        <f t="shared" si="20"/>
        <v>2</v>
      </c>
      <c r="Q221" s="43" t="str">
        <v>*make*</v>
      </c>
      <c r="R221" s="43">
        <v>6</v>
      </c>
      <c r="S221" s="43">
        <f t="shared" si="21"/>
        <v>2.1800000000000002</v>
      </c>
      <c r="T221" s="43">
        <f t="shared" si="22"/>
        <v>1</v>
      </c>
    </row>
    <row r="222" spans="1:20">
      <c r="G222" s="27" cm="1">
        <f t="array" ref="G222">INDEX($D:$D, MATCH(1, (H222 &gt;= $B:$B) * (H222 &lt;= $C:$C), 0))</f>
        <v>4</v>
      </c>
      <c r="H222" s="28">
        <v>45959</v>
      </c>
      <c r="I222" s="29" t="s">
        <v>16</v>
      </c>
      <c r="J222" s="29">
        <v>1</v>
      </c>
      <c r="K222" s="30" t="s">
        <v>77</v>
      </c>
      <c r="M222" s="43" t="str">
        <v>tree</v>
      </c>
      <c r="N222" s="43" t="str">
        <f t="shared" si="19"/>
        <v>*tree*</v>
      </c>
      <c r="O222" s="43" t="str">
        <v>*lake*</v>
      </c>
      <c r="P222" s="43">
        <f t="shared" si="20"/>
        <v>1</v>
      </c>
      <c r="Q222" s="43" t="str">
        <v>*import*</v>
      </c>
      <c r="R222" s="43">
        <v>6</v>
      </c>
      <c r="S222" s="43">
        <f t="shared" si="21"/>
        <v>2.1800000000000002</v>
      </c>
      <c r="T222" s="43">
        <f t="shared" si="22"/>
        <v>1</v>
      </c>
    </row>
    <row r="223" spans="1:20">
      <c r="G223" s="27" cm="1">
        <f t="array" ref="G223">INDEX($D:$D, MATCH(1, (H223 &gt;= $B:$B) * (H223 &lt;= $C:$C), 0))</f>
        <v>4</v>
      </c>
      <c r="H223" s="28">
        <v>45959</v>
      </c>
      <c r="I223" s="29" t="s">
        <v>24</v>
      </c>
      <c r="J223" s="29">
        <v>1</v>
      </c>
      <c r="K223" s="30" t="s">
        <v>77</v>
      </c>
      <c r="M223" s="43" t="str">
        <v>many</v>
      </c>
      <c r="N223" s="43" t="str">
        <f t="shared" si="19"/>
        <v>*many*</v>
      </c>
      <c r="O223" s="43" t="str">
        <v>*talk*</v>
      </c>
      <c r="P223" s="43">
        <f t="shared" si="20"/>
        <v>3</v>
      </c>
      <c r="Q223" s="43" t="str">
        <v>*collect*</v>
      </c>
      <c r="R223" s="43">
        <v>6</v>
      </c>
      <c r="S223" s="43">
        <f t="shared" si="21"/>
        <v>2.1800000000000002</v>
      </c>
      <c r="T223" s="43">
        <f t="shared" si="22"/>
        <v>1</v>
      </c>
    </row>
    <row r="224" spans="1:20">
      <c r="G224" s="27" cm="1">
        <f t="array" ref="G224">INDEX($D:$D, MATCH(1, (H224 &gt;= $B:$B) * (H224 &lt;= $C:$C), 0))</f>
        <v>4</v>
      </c>
      <c r="H224" s="28">
        <v>45959</v>
      </c>
      <c r="I224" s="29" t="s">
        <v>78</v>
      </c>
      <c r="J224" s="29">
        <v>1</v>
      </c>
      <c r="K224" s="30" t="s">
        <v>77</v>
      </c>
      <c r="M224" s="43" t="str">
        <v>new</v>
      </c>
      <c r="N224" s="43" t="str">
        <f t="shared" si="19"/>
        <v>*new*</v>
      </c>
      <c r="O224" s="43" t="str">
        <v>*it*</v>
      </c>
      <c r="P224" s="43">
        <f t="shared" si="20"/>
        <v>79</v>
      </c>
      <c r="Q224" s="43" t="str">
        <v>*organiz*</v>
      </c>
      <c r="R224" s="43">
        <v>6</v>
      </c>
      <c r="S224" s="43">
        <f t="shared" si="21"/>
        <v>2.1800000000000002</v>
      </c>
      <c r="T224" s="43">
        <f t="shared" si="22"/>
        <v>1</v>
      </c>
    </row>
    <row r="225" spans="7:20">
      <c r="G225" s="27" cm="1">
        <f t="array" ref="G225">INDEX($D:$D, MATCH(1, (H225 &gt;= $B:$B) * (H225 &lt;= $C:$C), 0))</f>
        <v>4</v>
      </c>
      <c r="H225" s="28">
        <v>45959</v>
      </c>
      <c r="I225" s="29" t="s">
        <v>34</v>
      </c>
      <c r="J225" s="29">
        <v>2</v>
      </c>
      <c r="K225" s="30" t="s">
        <v>170</v>
      </c>
      <c r="M225" s="43" t="str">
        <v>rocks,</v>
      </c>
      <c r="N225" s="43" t="str">
        <f t="shared" si="19"/>
        <v>*rocks*</v>
      </c>
      <c r="O225" s="43" t="str">
        <v>*about*</v>
      </c>
      <c r="P225" s="43">
        <f t="shared" si="20"/>
        <v>4</v>
      </c>
      <c r="Q225" s="43" t="str">
        <v>*parti*</v>
      </c>
      <c r="R225" s="43">
        <v>6</v>
      </c>
      <c r="S225" s="43">
        <f t="shared" si="21"/>
        <v>2.1800000000000002</v>
      </c>
      <c r="T225" s="43">
        <f t="shared" si="22"/>
        <v>1</v>
      </c>
    </row>
    <row r="226" spans="7:20">
      <c r="G226" s="27" cm="1">
        <f t="array" ref="G226">INDEX($D:$D, MATCH(1, (H226 &gt;= $B:$B) * (H226 &lt;= $C:$C), 0))</f>
        <v>4</v>
      </c>
      <c r="H226" s="28">
        <v>45959</v>
      </c>
      <c r="I226" s="29" t="s">
        <v>16</v>
      </c>
      <c r="J226" s="29">
        <v>0.5</v>
      </c>
      <c r="K226" s="30" t="s">
        <v>170</v>
      </c>
      <c r="M226" s="43" t="str">
        <v>grass,</v>
      </c>
      <c r="N226" s="43" t="str">
        <f t="shared" si="19"/>
        <v>*grass*</v>
      </c>
      <c r="O226" s="43" t="str">
        <v>*record*</v>
      </c>
      <c r="P226" s="43">
        <f t="shared" si="20"/>
        <v>5</v>
      </c>
      <c r="Q226" s="43" t="str">
        <v>*cave*</v>
      </c>
      <c r="R226" s="43">
        <v>6</v>
      </c>
      <c r="S226" s="43">
        <f t="shared" si="21"/>
        <v>2.1800000000000002</v>
      </c>
      <c r="T226" s="43">
        <f t="shared" si="22"/>
        <v>1</v>
      </c>
    </row>
    <row r="227" spans="7:20">
      <c r="G227" s="27" cm="1">
        <f t="array" ref="G227">INDEX($D:$D, MATCH(1, (H227 &gt;= $B:$B) * (H227 &lt;= $C:$C), 0))</f>
        <v>4</v>
      </c>
      <c r="H227" s="28">
        <v>45959</v>
      </c>
      <c r="I227" s="29" t="s">
        <v>78</v>
      </c>
      <c r="J227" s="29">
        <v>0.5</v>
      </c>
      <c r="K227" s="30" t="s">
        <v>170</v>
      </c>
      <c r="M227" s="43" t="str">
        <v>trees,</v>
      </c>
      <c r="N227" s="43" t="str">
        <f t="shared" si="19"/>
        <v>*trees*</v>
      </c>
      <c r="O227" s="43" t="str">
        <v>*tour*</v>
      </c>
      <c r="P227" s="43">
        <f t="shared" si="20"/>
        <v>3</v>
      </c>
      <c r="Q227" s="43" t="str">
        <v>*bridges*</v>
      </c>
      <c r="R227" s="43">
        <v>6</v>
      </c>
      <c r="S227" s="43">
        <f t="shared" si="21"/>
        <v>2.1800000000000002</v>
      </c>
      <c r="T227" s="43">
        <f t="shared" si="22"/>
        <v>1</v>
      </c>
    </row>
    <row r="228" spans="7:20">
      <c r="G228" s="27" cm="1">
        <f t="array" ref="G228">INDEX($D:$D, MATCH(1, (H228 &gt;= $B:$B) * (H228 &lt;= $C:$C), 0))</f>
        <v>4</v>
      </c>
      <c r="H228" s="28">
        <v>45959</v>
      </c>
      <c r="I228" s="29" t="s">
        <v>78</v>
      </c>
      <c r="J228" s="29">
        <v>1.5</v>
      </c>
      <c r="K228" s="30" t="s">
        <v>171</v>
      </c>
      <c r="M228" s="43" t="str">
        <v>little</v>
      </c>
      <c r="N228" s="43" t="str">
        <f t="shared" si="19"/>
        <v>*little*</v>
      </c>
      <c r="O228" s="43" t="str">
        <v>*video*</v>
      </c>
      <c r="P228" s="43">
        <f t="shared" si="20"/>
        <v>11</v>
      </c>
      <c r="Q228" s="43" t="str">
        <v>*learn*</v>
      </c>
      <c r="R228" s="43">
        <v>6</v>
      </c>
      <c r="S228" s="43">
        <f t="shared" si="21"/>
        <v>2.1800000000000002</v>
      </c>
      <c r="T228" s="43">
        <f t="shared" si="22"/>
        <v>1</v>
      </c>
    </row>
    <row r="229" spans="7:20">
      <c r="G229" s="27" cm="1">
        <f t="array" ref="G229">INDEX($D:$D, MATCH(1, (H229 &gt;= $B:$B) * (H229 &lt;= $C:$C), 0))</f>
        <v>4</v>
      </c>
      <c r="H229" s="28">
        <v>45959</v>
      </c>
      <c r="I229" s="29" t="s">
        <v>78</v>
      </c>
      <c r="J229" s="29">
        <v>1.5</v>
      </c>
      <c r="K229" s="30" t="s">
        <v>172</v>
      </c>
      <c r="M229" s="43" t="str">
        <v>islands</v>
      </c>
      <c r="N229" s="43" t="str">
        <f t="shared" si="19"/>
        <v>*islands*</v>
      </c>
      <c r="O229" s="43" t="str">
        <v>*screen*</v>
      </c>
      <c r="P229" s="43">
        <f t="shared" si="20"/>
        <v>7</v>
      </c>
      <c r="Q229" s="43" t="str">
        <v>*mechanics*</v>
      </c>
      <c r="R229" s="43">
        <v>6</v>
      </c>
      <c r="S229" s="43">
        <f t="shared" si="21"/>
        <v>2.1800000000000002</v>
      </c>
      <c r="T229" s="43">
        <f t="shared" si="22"/>
        <v>1</v>
      </c>
    </row>
    <row r="230" spans="7:20">
      <c r="G230" s="27" cm="1">
        <f t="array" ref="G230">INDEX($D:$D, MATCH(1, (H230 &gt;= $B:$B) * (H230 &lt;= $C:$C), 0))</f>
        <v>4</v>
      </c>
      <c r="H230" s="28">
        <v>45960</v>
      </c>
      <c r="I230" s="29" t="s">
        <v>34</v>
      </c>
      <c r="J230" s="29">
        <v>10</v>
      </c>
      <c r="K230" s="30" t="s">
        <v>173</v>
      </c>
      <c r="M230" s="43" t="str">
        <v>around</v>
      </c>
      <c r="N230" s="43" t="str">
        <f t="shared" si="19"/>
        <v>*around*</v>
      </c>
      <c r="O230" s="43" t="str">
        <v>*learn*</v>
      </c>
      <c r="P230" s="43">
        <f t="shared" si="20"/>
        <v>6</v>
      </c>
      <c r="Q230" s="43" t="str">
        <v>*place*</v>
      </c>
      <c r="R230" s="43">
        <v>6</v>
      </c>
      <c r="S230" s="43">
        <f t="shared" si="21"/>
        <v>2.1800000000000002</v>
      </c>
      <c r="T230" s="43">
        <f t="shared" si="22"/>
        <v>1</v>
      </c>
    </row>
    <row r="231" spans="7:20">
      <c r="G231" s="27" cm="1">
        <f t="array" ref="G231">INDEX($D:$D, MATCH(1, (H231 &gt;= $B:$B) * (H231 &lt;= $C:$C), 0))</f>
        <v>4</v>
      </c>
      <c r="H231" s="28">
        <v>45960</v>
      </c>
      <c r="I231" s="29" t="s">
        <v>34</v>
      </c>
      <c r="J231" s="29">
        <v>1</v>
      </c>
      <c r="K231" s="30" t="s">
        <v>170</v>
      </c>
      <c r="M231" s="43" t="str">
        <v>island.</v>
      </c>
      <c r="N231" s="43" t="str">
        <f t="shared" si="19"/>
        <v>*island*</v>
      </c>
      <c r="O231" s="43" t="str">
        <v>*blueprints*</v>
      </c>
      <c r="P231" s="43">
        <f t="shared" si="20"/>
        <v>2</v>
      </c>
      <c r="Q231" s="43" t="str">
        <v>*from*</v>
      </c>
      <c r="R231" s="43">
        <v>6</v>
      </c>
      <c r="S231" s="43">
        <f t="shared" si="21"/>
        <v>2.1800000000000002</v>
      </c>
      <c r="T231" s="43">
        <f t="shared" si="22"/>
        <v>1</v>
      </c>
    </row>
    <row r="232" spans="7:20">
      <c r="G232" s="27" cm="1">
        <f t="array" ref="G232">INDEX($D:$D, MATCH(1, (H232 &gt;= $B:$B) * (H232 &lt;= $C:$C), 0))</f>
        <v>4</v>
      </c>
      <c r="H232" s="28">
        <v>45961</v>
      </c>
      <c r="I232" s="29" t="s">
        <v>78</v>
      </c>
      <c r="J232" s="29">
        <v>1</v>
      </c>
      <c r="K232" s="30" t="s">
        <v>170</v>
      </c>
      <c r="M232" s="43" t="str">
        <v>Put</v>
      </c>
      <c r="N232" s="43" t="str">
        <f t="shared" si="19"/>
        <v>*put*</v>
      </c>
      <c r="O232" s="43" t="str">
        <v>*mechanics*</v>
      </c>
      <c r="P232" s="43">
        <f t="shared" si="20"/>
        <v>6</v>
      </c>
      <c r="Q232" s="43" t="str">
        <v>*landscap*</v>
      </c>
      <c r="R232" s="43">
        <v>6</v>
      </c>
      <c r="S232" s="43">
        <f t="shared" si="21"/>
        <v>2.1800000000000002</v>
      </c>
      <c r="T232" s="43">
        <f t="shared" si="22"/>
        <v>1</v>
      </c>
    </row>
    <row r="233" spans="7:20">
      <c r="G233" s="27" cm="1">
        <f t="array" ref="G233">INDEX($D:$D, MATCH(1, (H233 &gt;= $B:$B) * (H233 &lt;= $C:$C), 0))</f>
        <v>4</v>
      </c>
      <c r="H233" s="28">
        <v>45961</v>
      </c>
      <c r="I233" s="29" t="s">
        <v>16</v>
      </c>
      <c r="J233" s="29">
        <v>2</v>
      </c>
      <c r="K233" s="30" t="s">
        <v>170</v>
      </c>
      <c r="M233" s="43" t="str">
        <v>floating</v>
      </c>
      <c r="N233" s="43" t="str">
        <f t="shared" si="19"/>
        <v>*float*</v>
      </c>
      <c r="O233" s="43" t="str">
        <v>*slides*</v>
      </c>
      <c r="P233" s="43">
        <f t="shared" si="20"/>
        <v>2</v>
      </c>
      <c r="Q233" s="43" t="str">
        <v>*coach*</v>
      </c>
      <c r="R233" s="43">
        <v>6</v>
      </c>
      <c r="S233" s="43">
        <f t="shared" si="21"/>
        <v>2.1800000000000002</v>
      </c>
      <c r="T233" s="43">
        <f t="shared" si="22"/>
        <v>1</v>
      </c>
    </row>
    <row r="234" spans="7:20">
      <c r="G234" s="27" cm="1">
        <f t="array" ref="G234">INDEX($D:$D, MATCH(1, (H234 &gt;= $B:$B) * (H234 &lt;= $C:$C), 0))</f>
        <v>4</v>
      </c>
      <c r="H234" s="28">
        <v>45963</v>
      </c>
      <c r="I234" s="29" t="s">
        <v>28</v>
      </c>
      <c r="J234" s="29">
        <v>2</v>
      </c>
      <c r="K234" s="30" t="s">
        <v>174</v>
      </c>
      <c r="M234" s="43" t="str">
        <v>bridges</v>
      </c>
      <c r="N234" s="43" t="str">
        <f t="shared" si="19"/>
        <v>*bridges*</v>
      </c>
      <c r="O234" s="43" t="str">
        <v>*edit*</v>
      </c>
      <c r="P234" s="43">
        <f t="shared" si="20"/>
        <v>9</v>
      </c>
      <c r="Q234" s="43" t="str">
        <v>*any*</v>
      </c>
      <c r="R234" s="43">
        <v>6</v>
      </c>
      <c r="S234" s="43">
        <f t="shared" si="21"/>
        <v>2.1800000000000002</v>
      </c>
      <c r="T234" s="43">
        <f t="shared" si="22"/>
        <v>1</v>
      </c>
    </row>
    <row r="235" spans="7:20">
      <c r="G235" s="27" cm="1">
        <f t="array" ref="G235">INDEX($D:$D, MATCH(1, (H235 &gt;= $B:$B) * (H235 &lt;= $C:$C), 0))</f>
        <v>5</v>
      </c>
      <c r="H235" s="28">
        <v>45964</v>
      </c>
      <c r="I235" s="29" t="s">
        <v>26</v>
      </c>
      <c r="J235" s="29">
        <v>0.5</v>
      </c>
      <c r="K235" s="30" t="s">
        <v>175</v>
      </c>
      <c r="M235" s="43" t="str">
        <v>center</v>
      </c>
      <c r="N235" s="43" t="str">
        <f t="shared" si="19"/>
        <v>*center*</v>
      </c>
      <c r="O235" s="43" t="str">
        <v>*midterm*</v>
      </c>
      <c r="P235" s="43">
        <f t="shared" si="20"/>
        <v>34</v>
      </c>
      <c r="Q235" s="43" t="str">
        <v>*drop*</v>
      </c>
      <c r="R235" s="43">
        <v>6</v>
      </c>
      <c r="S235" s="43">
        <f t="shared" si="21"/>
        <v>2.1800000000000002</v>
      </c>
      <c r="T235" s="43">
        <f t="shared" si="22"/>
        <v>1</v>
      </c>
    </row>
    <row r="236" spans="7:20">
      <c r="G236" s="27" cm="1">
        <f t="array" ref="G236">INDEX($D:$D, MATCH(1, (H236 &gt;= $B:$B) * (H236 &lt;= $C:$C), 0))</f>
        <v>5</v>
      </c>
      <c r="H236" s="28">
        <v>45964</v>
      </c>
      <c r="I236" s="29" t="s">
        <v>16</v>
      </c>
      <c r="J236" s="29">
        <v>2.5</v>
      </c>
      <c r="K236" s="30" t="s">
        <v>101</v>
      </c>
      <c r="M236" s="43" t="str">
        <v>lake.</v>
      </c>
      <c r="N236" s="43" t="str">
        <f t="shared" si="19"/>
        <v>*lake*</v>
      </c>
      <c r="O236" s="43" t="str">
        <v>*file*</v>
      </c>
      <c r="P236" s="43">
        <f t="shared" si="20"/>
        <v>5</v>
      </c>
      <c r="Q236" s="43" t="str">
        <v>*feedback*</v>
      </c>
      <c r="R236" s="43">
        <v>6</v>
      </c>
      <c r="S236" s="43">
        <f t="shared" si="21"/>
        <v>2.1800000000000002</v>
      </c>
      <c r="T236" s="43">
        <f t="shared" si="22"/>
        <v>1</v>
      </c>
    </row>
    <row r="237" spans="7:20">
      <c r="G237" s="27" cm="1">
        <f t="array" ref="G237">INDEX($D:$D, MATCH(1, (H237 &gt;= $B:$B) * (H237 &lt;= $C:$C), 0))</f>
        <v>5</v>
      </c>
      <c r="H237" s="28">
        <v>45964</v>
      </c>
      <c r="I237" s="29" t="s">
        <v>34</v>
      </c>
      <c r="J237" s="29">
        <v>1</v>
      </c>
      <c r="K237" s="30" t="s">
        <v>102</v>
      </c>
      <c r="M237" s="43" t="str">
        <v>Talking</v>
      </c>
      <c r="N237" s="43" t="str">
        <f t="shared" si="19"/>
        <v>*talk*</v>
      </c>
      <c r="O237" s="43" t="str">
        <v>*backup*</v>
      </c>
      <c r="P237" s="43">
        <f t="shared" si="20"/>
        <v>1</v>
      </c>
      <c r="Q237" s="43" t="str">
        <v>*collec*</v>
      </c>
      <c r="R237" s="43">
        <v>6</v>
      </c>
      <c r="S237" s="43">
        <f t="shared" si="21"/>
        <v>2.1800000000000002</v>
      </c>
      <c r="T237" s="43">
        <f t="shared" si="22"/>
        <v>1</v>
      </c>
    </row>
    <row r="238" spans="7:20">
      <c r="G238" s="27" cm="1">
        <f t="array" ref="G238">INDEX($D:$D, MATCH(1, (H238 &gt;= $B:$B) * (H238 &lt;= $C:$C), 0))</f>
        <v>5</v>
      </c>
      <c r="H238" s="28">
        <v>45964</v>
      </c>
      <c r="I238" s="29" t="s">
        <v>78</v>
      </c>
      <c r="J238" s="29">
        <v>1</v>
      </c>
      <c r="K238" s="30" t="s">
        <v>102</v>
      </c>
      <c r="M238" s="43" t="str">
        <v>IT</v>
      </c>
      <c r="N238" s="43" t="str">
        <f t="shared" si="19"/>
        <v>*it*</v>
      </c>
      <c r="O238" s="43" t="str">
        <v>*ops*</v>
      </c>
      <c r="P238" s="43">
        <f t="shared" si="20"/>
        <v>0</v>
      </c>
      <c r="Q238" s="43" t="str">
        <v>*package*</v>
      </c>
      <c r="R238" s="43">
        <v>6</v>
      </c>
      <c r="S238" s="43">
        <f t="shared" si="21"/>
        <v>2.1800000000000002</v>
      </c>
      <c r="T238" s="43">
        <f t="shared" si="22"/>
        <v>1</v>
      </c>
    </row>
    <row r="239" spans="7:20">
      <c r="G239" s="27" cm="1">
        <f t="array" ref="G239">INDEX($D:$D, MATCH(1, (H239 &gt;= $B:$B) * (H239 &lt;= $C:$C), 0))</f>
        <v>5</v>
      </c>
      <c r="H239" s="28">
        <v>45964</v>
      </c>
      <c r="I239" s="29" t="s">
        <v>26</v>
      </c>
      <c r="J239" s="29">
        <v>1</v>
      </c>
      <c r="K239" s="30" t="s">
        <v>102</v>
      </c>
      <c r="M239" s="43" t="str">
        <v>about</v>
      </c>
      <c r="N239" s="43" t="str">
        <f t="shared" si="19"/>
        <v>*about*</v>
      </c>
      <c r="O239" s="43" t="str">
        <v>*menu*</v>
      </c>
      <c r="P239" s="43">
        <f t="shared" si="20"/>
        <v>21</v>
      </c>
      <c r="Q239" s="43" t="str">
        <v>*update*</v>
      </c>
      <c r="R239" s="43">
        <v>6</v>
      </c>
      <c r="S239" s="43">
        <f t="shared" si="21"/>
        <v>2.1800000000000002</v>
      </c>
      <c r="T239" s="43">
        <f t="shared" si="22"/>
        <v>1</v>
      </c>
    </row>
    <row r="240" spans="7:20">
      <c r="G240" s="27" cm="1">
        <f t="array" ref="G240">INDEX($D:$D, MATCH(1, (H240 &gt;= $B:$B) * (H240 &lt;= $C:$C), 0))</f>
        <v>5</v>
      </c>
      <c r="H240" s="28">
        <v>45964</v>
      </c>
      <c r="I240" s="29" t="s">
        <v>28</v>
      </c>
      <c r="J240" s="29">
        <v>1</v>
      </c>
      <c r="K240" s="30" t="s">
        <v>102</v>
      </c>
      <c r="M240" s="43" t="str">
        <v>Recording</v>
      </c>
      <c r="N240" s="43" t="str">
        <f t="shared" si="19"/>
        <v>*record*</v>
      </c>
      <c r="O240" s="43" t="str">
        <v>*crea*</v>
      </c>
      <c r="P240" s="43">
        <f t="shared" si="20"/>
        <v>28</v>
      </c>
      <c r="Q240" s="43" t="str">
        <v>*organ*</v>
      </c>
      <c r="R240" s="43">
        <v>6</v>
      </c>
      <c r="S240" s="43">
        <f t="shared" si="21"/>
        <v>2.1800000000000002</v>
      </c>
      <c r="T240" s="43">
        <f t="shared" si="22"/>
        <v>1</v>
      </c>
    </row>
    <row r="241" spans="7:20">
      <c r="G241" s="27" cm="1">
        <f t="array" ref="G241">INDEX($D:$D, MATCH(1, (H241 &gt;= $B:$B) * (H241 &lt;= $C:$C), 0))</f>
        <v>5</v>
      </c>
      <c r="H241" s="28">
        <v>45964</v>
      </c>
      <c r="I241" s="29" t="s">
        <v>16</v>
      </c>
      <c r="J241" s="29">
        <v>2</v>
      </c>
      <c r="K241" s="30" t="s">
        <v>176</v>
      </c>
      <c r="M241" s="43" t="str">
        <v>tour</v>
      </c>
      <c r="N241" s="43" t="str">
        <f t="shared" si="19"/>
        <v>*tour*</v>
      </c>
      <c r="O241" s="43" t="str">
        <v>*tutorial*</v>
      </c>
      <c r="P241" s="43">
        <f t="shared" si="20"/>
        <v>4</v>
      </c>
      <c r="Q241" s="43" t="str">
        <v>*tak*</v>
      </c>
      <c r="R241" s="43">
        <v>6</v>
      </c>
      <c r="S241" s="43">
        <f t="shared" si="21"/>
        <v>2.1800000000000002</v>
      </c>
      <c r="T241" s="43">
        <f t="shared" si="22"/>
        <v>1</v>
      </c>
    </row>
    <row r="242" spans="7:20">
      <c r="G242" s="27" cm="1">
        <f t="array" ref="G242">INDEX($D:$D, MATCH(1, (H242 &gt;= $B:$B) * (H242 &lt;= $C:$C), 0))</f>
        <v>5</v>
      </c>
      <c r="H242" s="57">
        <v>45964</v>
      </c>
      <c r="I242" s="29" t="s">
        <v>28</v>
      </c>
      <c r="J242" s="29">
        <v>2</v>
      </c>
      <c r="K242" s="30" t="s">
        <v>177</v>
      </c>
      <c r="M242" s="43" t="str">
        <v>video</v>
      </c>
      <c r="N242" s="43" t="str">
        <f t="shared" si="19"/>
        <v>*video*</v>
      </c>
      <c r="O242" s="43" t="str">
        <v>*watch*</v>
      </c>
      <c r="P242" s="43">
        <f t="shared" si="20"/>
        <v>2</v>
      </c>
      <c r="Q242" s="43" t="str">
        <v>*photos*</v>
      </c>
      <c r="R242" s="43">
        <v>6</v>
      </c>
      <c r="S242" s="43">
        <f t="shared" si="21"/>
        <v>2.1800000000000002</v>
      </c>
      <c r="T242" s="43">
        <f t="shared" si="22"/>
        <v>1</v>
      </c>
    </row>
    <row r="243" spans="7:20">
      <c r="G243" s="27" cm="1">
        <f t="array" ref="G243">INDEX($D:$D, MATCH(1, (H243 &gt;= $B:$B) * (H243 &lt;= $C:$C), 0))</f>
        <v>5</v>
      </c>
      <c r="H243" s="28">
        <v>45964</v>
      </c>
      <c r="I243" s="29" t="s">
        <v>28</v>
      </c>
      <c r="J243" s="29">
        <v>2</v>
      </c>
      <c r="K243" s="30" t="s">
        <v>178</v>
      </c>
      <c r="M243" s="43" t="str">
        <v>Screen</v>
      </c>
      <c r="N243" s="43" t="str">
        <f t="shared" si="19"/>
        <v>*screen*</v>
      </c>
      <c r="O243" s="43" t="str">
        <v>*implemented*</v>
      </c>
      <c r="P243" s="43">
        <f t="shared" si="20"/>
        <v>3</v>
      </c>
      <c r="Q243" s="43" t="str">
        <v>*selec*</v>
      </c>
      <c r="R243" s="43">
        <v>5</v>
      </c>
      <c r="S243" s="43">
        <f t="shared" si="21"/>
        <v>2.2599999999999998</v>
      </c>
      <c r="T243" s="43">
        <f t="shared" si="22"/>
        <v>1.04</v>
      </c>
    </row>
    <row r="244" spans="7:20">
      <c r="G244" s="27" cm="1">
        <f t="array" ref="G244">INDEX($D:$D, MATCH(1, (H244 &gt;= $B:$B) * (H244 &lt;= $C:$C), 0))</f>
        <v>5</v>
      </c>
      <c r="H244" s="28">
        <v>45965</v>
      </c>
      <c r="I244" s="29" t="s">
        <v>78</v>
      </c>
      <c r="J244" s="29">
        <v>2</v>
      </c>
      <c r="K244" s="30" t="s">
        <v>121</v>
      </c>
      <c r="M244" s="43" t="str">
        <v>Learning</v>
      </c>
      <c r="N244" s="43" t="str">
        <f t="shared" si="19"/>
        <v>*learn*</v>
      </c>
      <c r="O244" s="43" t="str">
        <v>*main*</v>
      </c>
      <c r="P244" s="43">
        <f t="shared" si="20"/>
        <v>5</v>
      </c>
      <c r="Q244" s="43" t="str">
        <v>*policy*</v>
      </c>
      <c r="R244" s="43">
        <v>5</v>
      </c>
      <c r="S244" s="43">
        <f t="shared" si="21"/>
        <v>2.2599999999999998</v>
      </c>
      <c r="T244" s="43">
        <f t="shared" si="22"/>
        <v>1</v>
      </c>
    </row>
    <row r="245" spans="7:20">
      <c r="G245" s="27" cm="1">
        <f t="array" ref="G245">INDEX($D:$D, MATCH(1, (H245 &gt;= $B:$B) * (H245 &lt;= $C:$C), 0))</f>
        <v>5</v>
      </c>
      <c r="H245" s="28">
        <v>45965</v>
      </c>
      <c r="I245" s="29" t="s">
        <v>28</v>
      </c>
      <c r="J245" s="29">
        <v>1</v>
      </c>
      <c r="K245" s="30" t="s">
        <v>179</v>
      </c>
      <c r="M245" s="43" t="str">
        <v>blueprints</v>
      </c>
      <c r="N245" s="43" t="str">
        <f t="shared" si="19"/>
        <v>*blueprints*</v>
      </c>
      <c r="O245" s="43" t="str">
        <v>*anima*</v>
      </c>
      <c r="P245" s="43">
        <f t="shared" si="20"/>
        <v>5</v>
      </c>
      <c r="Q245" s="43" t="str">
        <v>*logistics*</v>
      </c>
      <c r="R245" s="43">
        <v>5</v>
      </c>
      <c r="S245" s="43">
        <f t="shared" si="21"/>
        <v>2.2599999999999998</v>
      </c>
      <c r="T245" s="43">
        <f t="shared" si="22"/>
        <v>1</v>
      </c>
    </row>
    <row r="246" spans="7:20">
      <c r="G246" s="27" cm="1">
        <f t="array" ref="G246">INDEX($D:$D, MATCH(1, (H246 &gt;= $B:$B) * (H246 &lt;= $C:$C), 0))</f>
        <v>5</v>
      </c>
      <c r="H246" s="28">
        <v>45965</v>
      </c>
      <c r="I246" s="29" t="s">
        <v>26</v>
      </c>
      <c r="J246" s="29">
        <v>1</v>
      </c>
      <c r="K246" s="30" t="s">
        <v>180</v>
      </c>
      <c r="M246" s="43" t="str">
        <v>mechanics</v>
      </c>
      <c r="N246" s="43" t="str">
        <f t="shared" si="19"/>
        <v>*mechanics*</v>
      </c>
      <c r="O246" s="43" t="str">
        <v>*play*</v>
      </c>
      <c r="P246" s="43">
        <f t="shared" si="20"/>
        <v>33</v>
      </c>
      <c r="Q246" s="43" t="str">
        <v>*story*</v>
      </c>
      <c r="R246" s="43">
        <v>5</v>
      </c>
      <c r="S246" s="43">
        <f t="shared" si="21"/>
        <v>2.2599999999999998</v>
      </c>
      <c r="T246" s="43">
        <f t="shared" si="22"/>
        <v>1</v>
      </c>
    </row>
    <row r="247" spans="7:20">
      <c r="G247" s="27" cm="1">
        <f t="array" ref="G247">INDEX($D:$D, MATCH(1, (H247 &gt;= $B:$B) * (H247 &lt;= $C:$C), 0))</f>
        <v>5</v>
      </c>
      <c r="H247" s="28">
        <v>45966</v>
      </c>
      <c r="I247" s="29" t="s">
        <v>34</v>
      </c>
      <c r="J247" s="29">
        <v>1</v>
      </c>
      <c r="K247" s="30" t="s">
        <v>77</v>
      </c>
      <c r="M247" s="43" t="str">
        <v>Slides</v>
      </c>
      <c r="N247" s="43" t="str">
        <f t="shared" si="19"/>
        <v>*slides*</v>
      </c>
      <c r="O247" s="43" t="str">
        <v>*quit*</v>
      </c>
      <c r="P247" s="43">
        <f t="shared" si="20"/>
        <v>2</v>
      </c>
      <c r="Q247" s="43" t="str">
        <v>*issue*</v>
      </c>
      <c r="R247" s="43">
        <v>5</v>
      </c>
      <c r="S247" s="43">
        <f t="shared" si="21"/>
        <v>2.2599999999999998</v>
      </c>
      <c r="T247" s="43">
        <f t="shared" si="22"/>
        <v>1</v>
      </c>
    </row>
    <row r="248" spans="7:20">
      <c r="G248" s="27" cm="1">
        <f t="array" ref="G248">INDEX($D:$D, MATCH(1, (H248 &gt;= $B:$B) * (H248 &lt;= $C:$C), 0))</f>
        <v>5</v>
      </c>
      <c r="H248" s="28">
        <v>45966</v>
      </c>
      <c r="I248" s="29" t="s">
        <v>26</v>
      </c>
      <c r="J248" s="29">
        <v>1</v>
      </c>
      <c r="K248" s="30" t="s">
        <v>77</v>
      </c>
      <c r="M248" s="43" t="str">
        <v>Editing</v>
      </c>
      <c r="N248" s="43" t="str">
        <f t="shared" ref="N248:N311" si="23">_xlfn.CONCAT("*",TRIM(CLEAN(_xlfn.REGEXREPLACE(LOWER($M248),$N$51,""))),"*")</f>
        <v>*edit*</v>
      </c>
      <c r="O248" s="43" t="str">
        <v>*still*</v>
      </c>
      <c r="P248" s="43">
        <f t="shared" ref="P248:P311" si="24">COUNTIF($K$5:$K$1000,$O248)</f>
        <v>1</v>
      </c>
      <c r="Q248" s="43" t="str">
        <v>*help*</v>
      </c>
      <c r="R248" s="43">
        <v>5</v>
      </c>
      <c r="S248" s="43">
        <f t="shared" ref="S248:S311" si="25">ROUND(LOG(COUNTA($M$54:$M$1000)/R248,10),2)</f>
        <v>2.2599999999999998</v>
      </c>
      <c r="T248" s="43">
        <f t="shared" si="22"/>
        <v>1</v>
      </c>
    </row>
    <row r="249" spans="7:20">
      <c r="G249" s="27" cm="1">
        <f t="array" ref="G249">INDEX($D:$D, MATCH(1, (H249 &gt;= $B:$B) * (H249 &lt;= $C:$C), 0))</f>
        <v>5</v>
      </c>
      <c r="H249" s="28">
        <v>45966</v>
      </c>
      <c r="I249" s="29" t="s">
        <v>24</v>
      </c>
      <c r="J249" s="29">
        <v>1</v>
      </c>
      <c r="K249" s="30" t="s">
        <v>77</v>
      </c>
      <c r="M249" s="43" t="str">
        <v>Midterm</v>
      </c>
      <c r="N249" s="43" t="str">
        <f t="shared" si="23"/>
        <v>*midterm*</v>
      </c>
      <c r="O249" s="43" t="str">
        <v>*budget*</v>
      </c>
      <c r="P249" s="43">
        <f t="shared" si="24"/>
        <v>2</v>
      </c>
      <c r="Q249" s="43" t="str">
        <v>*landscape*</v>
      </c>
      <c r="R249" s="43">
        <v>5</v>
      </c>
      <c r="S249" s="43">
        <f t="shared" si="25"/>
        <v>2.2599999999999998</v>
      </c>
      <c r="T249" s="43">
        <f t="shared" ref="T249:T312" si="26">ROUND($S249/$S248,2)</f>
        <v>1</v>
      </c>
    </row>
    <row r="250" spans="7:20">
      <c r="G250" s="27" cm="1">
        <f t="array" ref="G250">INDEX($D:$D, MATCH(1, (H250 &gt;= $B:$B) * (H250 &lt;= $C:$C), 0))</f>
        <v>5</v>
      </c>
      <c r="H250" s="28">
        <v>45966</v>
      </c>
      <c r="I250" s="29" t="s">
        <v>28</v>
      </c>
      <c r="J250" s="29">
        <v>1</v>
      </c>
      <c r="K250" s="30" t="s">
        <v>77</v>
      </c>
      <c r="M250" s="43" t="str">
        <v>practice</v>
      </c>
      <c r="N250" s="43" t="str">
        <f t="shared" si="23"/>
        <v>*practice*</v>
      </c>
      <c r="O250" s="43" t="str">
        <v>*instrument*</v>
      </c>
      <c r="P250" s="43">
        <f t="shared" si="24"/>
        <v>1</v>
      </c>
      <c r="Q250" s="43" t="str">
        <v>*foliage*</v>
      </c>
      <c r="R250" s="43">
        <v>5</v>
      </c>
      <c r="S250" s="43">
        <f t="shared" si="25"/>
        <v>2.2599999999999998</v>
      </c>
      <c r="T250" s="43">
        <f t="shared" si="26"/>
        <v>1</v>
      </c>
    </row>
    <row r="251" spans="7:20">
      <c r="G251" s="27" cm="1">
        <f t="array" ref="G251">INDEX($D:$D, MATCH(1, (H251 &gt;= $B:$B) * (H251 &lt;= $C:$C), 0))</f>
        <v>5</v>
      </c>
      <c r="H251" s="28">
        <v>45966</v>
      </c>
      <c r="I251" s="29" t="s">
        <v>78</v>
      </c>
      <c r="J251" s="29">
        <v>1</v>
      </c>
      <c r="K251" s="30" t="s">
        <v>77</v>
      </c>
      <c r="M251" s="43" t="str">
        <v>File</v>
      </c>
      <c r="N251" s="43" t="str">
        <f t="shared" si="23"/>
        <v>*file*</v>
      </c>
      <c r="O251" s="43" t="str">
        <v>*test*</v>
      </c>
      <c r="P251" s="43">
        <f t="shared" si="24"/>
        <v>32</v>
      </c>
      <c r="Q251" s="43" t="str">
        <v>*cod*</v>
      </c>
      <c r="R251" s="43">
        <v>5</v>
      </c>
      <c r="S251" s="43">
        <f t="shared" si="25"/>
        <v>2.2599999999999998</v>
      </c>
      <c r="T251" s="43">
        <f t="shared" si="26"/>
        <v>1</v>
      </c>
    </row>
    <row r="252" spans="7:20">
      <c r="G252" s="27" cm="1">
        <f t="array" ref="G252">INDEX($D:$D, MATCH(1, (H252 &gt;= $B:$B) * (H252 &lt;= $C:$C), 0))</f>
        <v>5</v>
      </c>
      <c r="H252" s="28">
        <v>45966</v>
      </c>
      <c r="I252" s="29" t="s">
        <v>16</v>
      </c>
      <c r="J252" s="29">
        <v>1</v>
      </c>
      <c r="K252" s="30" t="s">
        <v>77</v>
      </c>
      <c r="M252" s="43" t="str">
        <v>Backup</v>
      </c>
      <c r="N252" s="43" t="str">
        <f t="shared" si="23"/>
        <v>*backup*</v>
      </c>
      <c r="O252" s="43" t="str">
        <v>*gett*</v>
      </c>
      <c r="P252" s="43">
        <f t="shared" si="24"/>
        <v>7</v>
      </c>
      <c r="Q252" s="43" t="str">
        <v>*rivers*</v>
      </c>
      <c r="R252" s="43">
        <v>5</v>
      </c>
      <c r="S252" s="43">
        <f t="shared" si="25"/>
        <v>2.2599999999999998</v>
      </c>
      <c r="T252" s="43">
        <f t="shared" si="26"/>
        <v>1</v>
      </c>
    </row>
    <row r="253" spans="7:20">
      <c r="G253" s="27" cm="1">
        <f t="array" ref="G253">INDEX($D:$D, MATCH(1, (H253 &gt;= $B:$B) * (H253 &lt;= $C:$C), 0))</f>
        <v>5</v>
      </c>
      <c r="H253" s="28">
        <v>45966</v>
      </c>
      <c r="I253" s="29" t="s">
        <v>78</v>
      </c>
      <c r="J253" s="29">
        <v>0.5</v>
      </c>
      <c r="K253" s="30" t="s">
        <v>181</v>
      </c>
      <c r="M253" s="43" t="str">
        <v>Options</v>
      </c>
      <c r="N253" s="43" t="str">
        <f t="shared" si="23"/>
        <v>*ops*</v>
      </c>
      <c r="O253" s="43" t="str">
        <v>*crystal*</v>
      </c>
      <c r="P253" s="43">
        <f t="shared" si="24"/>
        <v>7</v>
      </c>
      <c r="Q253" s="43" t="str">
        <v>*sharepoint*</v>
      </c>
      <c r="R253" s="43">
        <v>5</v>
      </c>
      <c r="S253" s="43">
        <f t="shared" si="25"/>
        <v>2.2599999999999998</v>
      </c>
      <c r="T253" s="43">
        <f t="shared" si="26"/>
        <v>1</v>
      </c>
    </row>
    <row r="254" spans="7:20">
      <c r="G254" s="27" cm="1">
        <f t="array" ref="G254">INDEX($D:$D, MATCH(1, (H254 &gt;= $B:$B) * (H254 &lt;= $C:$C), 0))</f>
        <v>5</v>
      </c>
      <c r="H254" s="28">
        <v>45966</v>
      </c>
      <c r="I254" s="29" t="s">
        <v>24</v>
      </c>
      <c r="J254" s="29">
        <v>3.5</v>
      </c>
      <c r="K254" s="30" t="s">
        <v>182</v>
      </c>
      <c r="M254" s="43" t="str">
        <v>Menu</v>
      </c>
      <c r="N254" s="43" t="str">
        <f t="shared" si="23"/>
        <v>*menu*</v>
      </c>
      <c r="O254" s="43" t="str">
        <v>*buttons*</v>
      </c>
      <c r="P254" s="43">
        <f t="shared" si="24"/>
        <v>3</v>
      </c>
      <c r="Q254" s="43" t="str">
        <v>*blueprint*</v>
      </c>
      <c r="R254" s="43">
        <v>5</v>
      </c>
      <c r="S254" s="43">
        <f t="shared" si="25"/>
        <v>2.2599999999999998</v>
      </c>
      <c r="T254" s="43">
        <f t="shared" si="26"/>
        <v>1</v>
      </c>
    </row>
    <row r="255" spans="7:20">
      <c r="G255" s="27" cm="1">
        <f t="array" ref="G255">INDEX($D:$D, MATCH(1, (H255 &gt;= $B:$B) * (H255 &lt;= $C:$C), 0))</f>
        <v>5</v>
      </c>
      <c r="H255" s="28">
        <v>45966</v>
      </c>
      <c r="I255" s="29" t="s">
        <v>26</v>
      </c>
      <c r="J255" s="29">
        <v>3</v>
      </c>
      <c r="K255" s="30" t="s">
        <v>180</v>
      </c>
      <c r="M255" s="43" t="str">
        <v>Creation</v>
      </c>
      <c r="N255" s="43" t="str">
        <f t="shared" si="23"/>
        <v>*crea*</v>
      </c>
      <c r="O255" s="43" t="str">
        <v>*videos*</v>
      </c>
      <c r="P255" s="43">
        <f t="shared" si="24"/>
        <v>7</v>
      </c>
      <c r="Q255" s="43" t="str">
        <v>*trees*</v>
      </c>
      <c r="R255" s="43">
        <v>5</v>
      </c>
      <c r="S255" s="43">
        <f t="shared" si="25"/>
        <v>2.2599999999999998</v>
      </c>
      <c r="T255" s="43">
        <f t="shared" si="26"/>
        <v>1</v>
      </c>
    </row>
    <row r="256" spans="7:20" ht="30">
      <c r="G256" s="27" cm="1">
        <f t="array" ref="G256">INDEX($D:$D, MATCH(1, (H256 &gt;= $B:$B) * (H256 &lt;= $C:$C), 0))</f>
        <v>5</v>
      </c>
      <c r="H256" s="28">
        <v>45966</v>
      </c>
      <c r="I256" s="29" t="s">
        <v>16</v>
      </c>
      <c r="J256" s="29">
        <v>4</v>
      </c>
      <c r="K256" s="30" t="s">
        <v>183</v>
      </c>
      <c r="M256" s="43" t="str">
        <v>(Tutorial</v>
      </c>
      <c r="N256" s="43" t="str">
        <f t="shared" si="23"/>
        <v>*tutorial*</v>
      </c>
      <c r="O256" s="43" t="str">
        <v>*over*</v>
      </c>
      <c r="P256" s="43">
        <f t="shared" si="24"/>
        <v>1</v>
      </c>
      <c r="Q256" s="43" t="str">
        <v>*many*</v>
      </c>
      <c r="R256" s="43">
        <v>5</v>
      </c>
      <c r="S256" s="43">
        <f t="shared" si="25"/>
        <v>2.2599999999999998</v>
      </c>
      <c r="T256" s="43">
        <f t="shared" si="26"/>
        <v>1</v>
      </c>
    </row>
    <row r="257" spans="7:20">
      <c r="G257" s="27" cm="1">
        <f t="array" ref="G257">INDEX($D:$D, MATCH(1, (H257 &gt;= $B:$B) * (H257 &lt;= $C:$C), 0))</f>
        <v>5</v>
      </c>
      <c r="H257" s="28">
        <v>45969</v>
      </c>
      <c r="I257" s="29" t="s">
        <v>28</v>
      </c>
      <c r="J257" s="29">
        <v>4</v>
      </c>
      <c r="K257" s="30" t="s">
        <v>184</v>
      </c>
      <c r="M257" s="43" t="str">
        <v>Watching)</v>
      </c>
      <c r="N257" s="43" t="str">
        <f t="shared" si="23"/>
        <v>*watch*</v>
      </c>
      <c r="O257" s="43" t="str">
        <v>*object*</v>
      </c>
      <c r="P257" s="43">
        <f t="shared" si="24"/>
        <v>1</v>
      </c>
      <c r="Q257" s="43" t="str">
        <v>*put*</v>
      </c>
      <c r="R257" s="43">
        <v>5</v>
      </c>
      <c r="S257" s="43">
        <f t="shared" si="25"/>
        <v>2.2599999999999998</v>
      </c>
      <c r="T257" s="43">
        <f t="shared" si="26"/>
        <v>1</v>
      </c>
    </row>
    <row r="258" spans="7:20">
      <c r="G258" s="27" cm="1">
        <f t="array" ref="G258">INDEX($D:$D, MATCH(1, (H258 &gt;= $B:$B) * (H258 &lt;= $C:$C), 0))</f>
        <v>5</v>
      </c>
      <c r="H258" s="28">
        <v>45969</v>
      </c>
      <c r="I258" s="29" t="s">
        <v>16</v>
      </c>
      <c r="J258" s="29">
        <v>2</v>
      </c>
      <c r="K258" s="30" t="s">
        <v>185</v>
      </c>
      <c r="M258" s="43" t="str">
        <v>Implemented</v>
      </c>
      <c r="N258" s="43" t="str">
        <f t="shared" si="23"/>
        <v>*implemented*</v>
      </c>
      <c r="O258" s="43" t="str">
        <v>*button*</v>
      </c>
      <c r="P258" s="43">
        <f t="shared" si="24"/>
        <v>8</v>
      </c>
      <c r="Q258" s="43" t="str">
        <v>*record*</v>
      </c>
      <c r="R258" s="43">
        <v>5</v>
      </c>
      <c r="S258" s="43">
        <f t="shared" si="25"/>
        <v>2.2599999999999998</v>
      </c>
      <c r="T258" s="43">
        <f t="shared" si="26"/>
        <v>1</v>
      </c>
    </row>
    <row r="259" spans="7:20">
      <c r="G259" s="27" cm="1">
        <f t="array" ref="G259">INDEX($D:$D, MATCH(1, (H259 &gt;= $B:$B) * (H259 &lt;= $C:$C), 0))</f>
        <v>5</v>
      </c>
      <c r="H259" s="28">
        <v>45970</v>
      </c>
      <c r="I259" s="29" t="s">
        <v>16</v>
      </c>
      <c r="J259" s="29">
        <v>4</v>
      </c>
      <c r="K259" s="30" t="s">
        <v>186</v>
      </c>
      <c r="M259" s="43" t="str">
        <v>Main</v>
      </c>
      <c r="N259" s="43" t="str">
        <f t="shared" si="23"/>
        <v>*main*</v>
      </c>
      <c r="O259" s="43" t="str">
        <v>*color*</v>
      </c>
      <c r="P259" s="43">
        <f t="shared" si="24"/>
        <v>31</v>
      </c>
      <c r="Q259" s="43" t="str">
        <v>*file*</v>
      </c>
      <c r="R259" s="43">
        <v>5</v>
      </c>
      <c r="S259" s="43">
        <f t="shared" si="25"/>
        <v>2.2599999999999998</v>
      </c>
      <c r="T259" s="43">
        <f t="shared" si="26"/>
        <v>1</v>
      </c>
    </row>
    <row r="260" spans="7:20" ht="30">
      <c r="G260" s="27" cm="1">
        <f t="array" ref="G260">INDEX($D:$D, MATCH(1, (H260 &gt;= $B:$B) * (H260 &lt;= $C:$C), 0))</f>
        <v>5</v>
      </c>
      <c r="H260" s="28">
        <v>45971</v>
      </c>
      <c r="I260" s="29" t="s">
        <v>16</v>
      </c>
      <c r="J260" s="29">
        <v>3</v>
      </c>
      <c r="K260" s="30" t="s">
        <v>187</v>
      </c>
      <c r="M260" s="43" t="str">
        <v>Animation</v>
      </c>
      <c r="N260" s="43" t="str">
        <f t="shared" si="23"/>
        <v>*anima*</v>
      </c>
      <c r="O260" s="43" t="str">
        <v>*bugs*</v>
      </c>
      <c r="P260" s="43">
        <f t="shared" si="24"/>
        <v>3</v>
      </c>
      <c r="Q260" s="43" t="str">
        <v>*main*</v>
      </c>
      <c r="R260" s="43">
        <v>5</v>
      </c>
      <c r="S260" s="43">
        <f t="shared" si="25"/>
        <v>2.2599999999999998</v>
      </c>
      <c r="T260" s="43">
        <f t="shared" si="26"/>
        <v>1</v>
      </c>
    </row>
    <row r="261" spans="7:20">
      <c r="G261" s="27" cm="1">
        <f t="array" ref="G261">INDEX($D:$D, MATCH(1, (H261 &gt;= $B:$B) * (H261 &lt;= $C:$C), 0))</f>
        <v>5</v>
      </c>
      <c r="H261" s="28">
        <v>45971</v>
      </c>
      <c r="I261" s="29" t="s">
        <v>26</v>
      </c>
      <c r="J261" s="29">
        <v>0.5</v>
      </c>
      <c r="K261" s="30" t="s">
        <v>188</v>
      </c>
      <c r="M261" s="43" t="str">
        <v>Play</v>
      </c>
      <c r="N261" s="43" t="str">
        <f t="shared" si="23"/>
        <v>*play*</v>
      </c>
      <c r="O261" s="43" t="str">
        <v>*colored*</v>
      </c>
      <c r="P261" s="43">
        <f t="shared" si="24"/>
        <v>1</v>
      </c>
      <c r="Q261" s="43" t="str">
        <v>*anima*</v>
      </c>
      <c r="R261" s="43">
        <v>5</v>
      </c>
      <c r="S261" s="43">
        <f t="shared" si="25"/>
        <v>2.2599999999999998</v>
      </c>
      <c r="T261" s="43">
        <f t="shared" si="26"/>
        <v>1</v>
      </c>
    </row>
    <row r="262" spans="7:20">
      <c r="G262" s="27" cm="1">
        <f t="array" ref="G262">INDEX($D:$D, MATCH(1, (H262 &gt;= $B:$B) * (H262 &lt;= $C:$C), 0))</f>
        <v>5</v>
      </c>
      <c r="H262" s="28">
        <v>45971</v>
      </c>
      <c r="I262" s="29" t="s">
        <v>26</v>
      </c>
      <c r="J262" s="29">
        <v>2</v>
      </c>
      <c r="K262" s="30" t="s">
        <v>189</v>
      </c>
      <c r="M262" s="43" t="str">
        <v>Quit</v>
      </c>
      <c r="N262" s="43" t="str">
        <f t="shared" si="23"/>
        <v>*quit*</v>
      </c>
      <c r="O262" s="43" t="str">
        <v>*several*</v>
      </c>
      <c r="P262" s="43">
        <f t="shared" si="24"/>
        <v>1</v>
      </c>
      <c r="Q262" s="43" t="str">
        <v>*forest*</v>
      </c>
      <c r="R262" s="43">
        <v>5</v>
      </c>
      <c r="S262" s="43">
        <f t="shared" si="25"/>
        <v>2.2599999999999998</v>
      </c>
      <c r="T262" s="43">
        <f t="shared" si="26"/>
        <v>1</v>
      </c>
    </row>
    <row r="263" spans="7:20">
      <c r="G263" s="27" cm="1">
        <f t="array" ref="G263">INDEX($D:$D, MATCH(1, (H263 &gt;= $B:$B) * (H263 &lt;= $C:$C), 0))</f>
        <v>5</v>
      </c>
      <c r="H263" s="28">
        <v>45972</v>
      </c>
      <c r="I263" s="29" t="s">
        <v>26</v>
      </c>
      <c r="J263" s="29">
        <v>3</v>
      </c>
      <c r="K263" s="30" t="s">
        <v>189</v>
      </c>
      <c r="L263" s="7" t="s">
        <v>190</v>
      </c>
      <c r="M263" s="43" t="str">
        <v>still</v>
      </c>
      <c r="N263" s="43" t="str">
        <f t="shared" si="23"/>
        <v>*still*</v>
      </c>
      <c r="O263" s="43" t="str">
        <v>*versions*</v>
      </c>
      <c r="P263" s="43">
        <f t="shared" si="24"/>
        <v>1</v>
      </c>
      <c r="Q263" s="43" t="str">
        <v>*castle*</v>
      </c>
      <c r="R263" s="43">
        <v>5</v>
      </c>
      <c r="S263" s="43">
        <f t="shared" si="25"/>
        <v>2.2599999999999998</v>
      </c>
      <c r="T263" s="43">
        <f t="shared" si="26"/>
        <v>1</v>
      </c>
    </row>
    <row r="264" spans="7:20" ht="30">
      <c r="G264" s="27" cm="1">
        <f t="array" ref="G264">INDEX($D:$D, MATCH(1, (H264 &gt;= $B:$B) * (H264 &lt;= $C:$C), 0))</f>
        <v>5</v>
      </c>
      <c r="H264" s="28">
        <v>45972</v>
      </c>
      <c r="I264" s="29" t="s">
        <v>78</v>
      </c>
      <c r="J264" s="29">
        <v>3</v>
      </c>
      <c r="K264" s="30" t="s">
        <v>191</v>
      </c>
      <c r="M264" s="43" t="str">
        <v>Budget</v>
      </c>
      <c r="N264" s="43" t="str">
        <f t="shared" si="23"/>
        <v>*budget*</v>
      </c>
      <c r="O264" s="43" t="str">
        <v>*based*</v>
      </c>
      <c r="P264" s="43">
        <f t="shared" si="24"/>
        <v>2</v>
      </c>
      <c r="Q264" s="43" t="str">
        <v>*move*</v>
      </c>
      <c r="R264" s="43">
        <v>5</v>
      </c>
      <c r="S264" s="43">
        <f t="shared" si="25"/>
        <v>2.2599999999999998</v>
      </c>
      <c r="T264" s="43">
        <f t="shared" si="26"/>
        <v>1</v>
      </c>
    </row>
    <row r="265" spans="7:20">
      <c r="G265" s="27" cm="1">
        <f t="array" ref="G265">INDEX($D:$D, MATCH(1, (H265 &gt;= $B:$B) * (H265 &lt;= $C:$C), 0))</f>
        <v>5</v>
      </c>
      <c r="H265" s="28">
        <v>45973</v>
      </c>
      <c r="I265" s="29" t="s">
        <v>26</v>
      </c>
      <c r="J265" s="29">
        <v>1</v>
      </c>
      <c r="K265" s="30" t="s">
        <v>77</v>
      </c>
      <c r="M265" s="43" t="str">
        <v>Instrument</v>
      </c>
      <c r="N265" s="43" t="str">
        <f t="shared" si="23"/>
        <v>*instrument*</v>
      </c>
      <c r="O265" s="43" t="str">
        <v>*logans*</v>
      </c>
      <c r="P265" s="43">
        <f t="shared" si="24"/>
        <v>0</v>
      </c>
      <c r="Q265" s="43" t="str">
        <v>*cleanup*</v>
      </c>
      <c r="R265" s="43">
        <v>5</v>
      </c>
      <c r="S265" s="43">
        <f t="shared" si="25"/>
        <v>2.2599999999999998</v>
      </c>
      <c r="T265" s="43">
        <f t="shared" si="26"/>
        <v>1</v>
      </c>
    </row>
    <row r="266" spans="7:20">
      <c r="G266" s="27" cm="1">
        <f t="array" ref="G266">INDEX($D:$D, MATCH(1, (H266 &gt;= $B:$B) * (H266 &lt;= $C:$C), 0))</f>
        <v>5</v>
      </c>
      <c r="H266" s="28">
        <v>45973</v>
      </c>
      <c r="I266" s="29" t="s">
        <v>16</v>
      </c>
      <c r="J266" s="29">
        <v>1</v>
      </c>
      <c r="K266" s="30" t="s">
        <v>77</v>
      </c>
      <c r="M266" s="43" t="str">
        <v>testing</v>
      </c>
      <c r="N266" s="43" t="str">
        <f t="shared" si="23"/>
        <v>*test*</v>
      </c>
      <c r="O266" s="43" t="str">
        <v>*documenta*</v>
      </c>
      <c r="P266" s="43">
        <f t="shared" si="24"/>
        <v>9</v>
      </c>
      <c r="Q266" s="43" t="str">
        <v>*sequence*</v>
      </c>
      <c r="R266" s="43">
        <v>5</v>
      </c>
      <c r="S266" s="43">
        <f t="shared" si="25"/>
        <v>2.2599999999999998</v>
      </c>
      <c r="T266" s="43">
        <f t="shared" si="26"/>
        <v>1</v>
      </c>
    </row>
    <row r="267" spans="7:20">
      <c r="G267" s="27" cm="1">
        <f t="array" ref="G267">INDEX($D:$D, MATCH(1, (H267 &gt;= $B:$B) * (H267 &lt;= $C:$C), 0))</f>
        <v>5</v>
      </c>
      <c r="H267" s="28">
        <v>45973</v>
      </c>
      <c r="I267" s="29" t="s">
        <v>78</v>
      </c>
      <c r="J267" s="29">
        <v>1</v>
      </c>
      <c r="K267" s="30" t="s">
        <v>77</v>
      </c>
      <c r="M267" s="43" t="str">
        <v>Getting</v>
      </c>
      <c r="N267" s="43" t="str">
        <f t="shared" si="23"/>
        <v>*gett*</v>
      </c>
      <c r="O267" s="43" t="str">
        <v>*sounds*</v>
      </c>
      <c r="P267" s="43">
        <f t="shared" si="24"/>
        <v>3</v>
      </c>
      <c r="Q267" s="43" t="str">
        <v>*emma*</v>
      </c>
      <c r="R267" s="43">
        <v>5</v>
      </c>
      <c r="S267" s="43">
        <f t="shared" si="25"/>
        <v>2.2599999999999998</v>
      </c>
      <c r="T267" s="43">
        <f t="shared" si="26"/>
        <v>1</v>
      </c>
    </row>
    <row r="268" spans="7:20">
      <c r="G268" s="27" cm="1">
        <f t="array" ref="G268">INDEX($D:$D, MATCH(1, (H268 &gt;= $B:$B) * (H268 &lt;= $C:$C), 0))</f>
        <v>5</v>
      </c>
      <c r="H268" s="28">
        <v>45973</v>
      </c>
      <c r="I268" s="29" t="s">
        <v>28</v>
      </c>
      <c r="J268" s="29">
        <v>1</v>
      </c>
      <c r="K268" s="30" t="s">
        <v>77</v>
      </c>
      <c r="M268" s="43" t="str">
        <v>crystal</v>
      </c>
      <c r="N268" s="43" t="str">
        <f t="shared" si="23"/>
        <v>*crystal*</v>
      </c>
      <c r="O268" s="43" t="str">
        <v>*crystals*</v>
      </c>
      <c r="P268" s="43">
        <f t="shared" si="24"/>
        <v>3</v>
      </c>
      <c r="Q268" s="43" t="str">
        <v>*finished*</v>
      </c>
      <c r="R268" s="43">
        <v>5</v>
      </c>
      <c r="S268" s="43">
        <f t="shared" si="25"/>
        <v>2.2599999999999998</v>
      </c>
      <c r="T268" s="43">
        <f t="shared" si="26"/>
        <v>1</v>
      </c>
    </row>
    <row r="269" spans="7:20">
      <c r="G269" s="27" cm="1">
        <f t="array" ref="G269">INDEX($D:$D, MATCH(1, (H269 &gt;= $B:$B) * (H269 &lt;= $C:$C), 0))</f>
        <v>5</v>
      </c>
      <c r="H269" s="28">
        <v>45973</v>
      </c>
      <c r="I269" s="29" t="s">
        <v>24</v>
      </c>
      <c r="J269" s="29">
        <v>0.5</v>
      </c>
      <c r="K269" s="30" t="s">
        <v>77</v>
      </c>
      <c r="M269" s="43" t="str">
        <v>buttons</v>
      </c>
      <c r="N269" s="43" t="str">
        <f t="shared" si="23"/>
        <v>*buttons*</v>
      </c>
      <c r="O269" s="43" t="str">
        <v>*compos*</v>
      </c>
      <c r="P269" s="43">
        <f t="shared" si="24"/>
        <v>2</v>
      </c>
      <c r="Q269" s="43" t="str">
        <v>*low*</v>
      </c>
      <c r="R269" s="43">
        <v>5</v>
      </c>
      <c r="S269" s="43">
        <f t="shared" si="25"/>
        <v>2.2599999999999998</v>
      </c>
      <c r="T269" s="43">
        <f t="shared" si="26"/>
        <v>1</v>
      </c>
    </row>
    <row r="270" spans="7:20">
      <c r="G270" s="27" cm="1">
        <f t="array" ref="G270">INDEX($D:$D, MATCH(1, (H270 &gt;= $B:$B) * (H270 &lt;= $C:$C), 0))</f>
        <v>5</v>
      </c>
      <c r="H270" s="28">
        <v>45973</v>
      </c>
      <c r="I270" s="29" t="s">
        <v>24</v>
      </c>
      <c r="J270" s="29">
        <v>3</v>
      </c>
      <c r="K270" s="30" t="s">
        <v>192</v>
      </c>
      <c r="M270" s="43" t="str">
        <v>Watch</v>
      </c>
      <c r="N270" s="43" t="str">
        <f t="shared" si="23"/>
        <v>*watch*</v>
      </c>
      <c r="O270" s="43" t="str">
        <v>*custom*</v>
      </c>
      <c r="P270" s="43">
        <f t="shared" si="24"/>
        <v>3</v>
      </c>
      <c r="Q270" s="43" t="str">
        <v>*dialog*</v>
      </c>
      <c r="R270" s="43">
        <v>5</v>
      </c>
      <c r="S270" s="43">
        <f t="shared" si="25"/>
        <v>2.2599999999999998</v>
      </c>
      <c r="T270" s="43">
        <f t="shared" si="26"/>
        <v>1</v>
      </c>
    </row>
    <row r="271" spans="7:20">
      <c r="G271" s="27" cm="1">
        <f t="array" ref="G271">INDEX($D:$D, MATCH(1, (H271 &gt;= $B:$B) * (H271 &lt;= $C:$C), 0))</f>
        <v>5</v>
      </c>
      <c r="H271" s="28">
        <v>45973</v>
      </c>
      <c r="I271" s="29" t="s">
        <v>26</v>
      </c>
      <c r="J271" s="29">
        <v>4</v>
      </c>
      <c r="K271" s="30" t="s">
        <v>193</v>
      </c>
      <c r="M271" s="43" t="str">
        <v>videos</v>
      </c>
      <c r="N271" s="43" t="str">
        <f t="shared" si="23"/>
        <v>*videos*</v>
      </c>
      <c r="O271" s="43" t="str">
        <v>*print*</v>
      </c>
      <c r="P271" s="43">
        <f t="shared" si="24"/>
        <v>92</v>
      </c>
      <c r="Q271" s="43" t="str">
        <v>*text*</v>
      </c>
      <c r="R271" s="43">
        <v>5</v>
      </c>
      <c r="S271" s="43">
        <f t="shared" si="25"/>
        <v>2.2599999999999998</v>
      </c>
      <c r="T271" s="43">
        <f t="shared" si="26"/>
        <v>1</v>
      </c>
    </row>
    <row r="272" spans="7:20" ht="30">
      <c r="G272" s="27" cm="1">
        <f t="array" ref="G272">INDEX($D:$D, MATCH(1, (H272 &gt;= $B:$B) * (H272 &lt;= $C:$C), 0))</f>
        <v>5</v>
      </c>
      <c r="H272" s="28">
        <v>45973</v>
      </c>
      <c r="I272" s="29" t="s">
        <v>16</v>
      </c>
      <c r="J272" s="29">
        <v>2</v>
      </c>
      <c r="K272" s="30" t="s">
        <v>194</v>
      </c>
      <c r="M272" s="43" t="str">
        <v>over</v>
      </c>
      <c r="N272" s="43" t="str">
        <f t="shared" si="23"/>
        <v>*over*</v>
      </c>
      <c r="O272" s="43" t="str">
        <v>*choos*</v>
      </c>
      <c r="P272" s="43">
        <f t="shared" si="24"/>
        <v>1</v>
      </c>
      <c r="Q272" s="43" t="str">
        <v>*analysis*</v>
      </c>
      <c r="R272" s="43">
        <v>5</v>
      </c>
      <c r="S272" s="43">
        <f t="shared" si="25"/>
        <v>2.2599999999999998</v>
      </c>
      <c r="T272" s="43">
        <f t="shared" si="26"/>
        <v>1</v>
      </c>
    </row>
    <row r="273" spans="7:20">
      <c r="G273" s="27" cm="1">
        <f t="array" ref="G273">INDEX($D:$D, MATCH(1, (H273 &gt;= $B:$B) * (H273 &lt;= $C:$C), 0))</f>
        <v>5</v>
      </c>
      <c r="H273" s="28">
        <v>45977</v>
      </c>
      <c r="I273" s="29" t="s">
        <v>28</v>
      </c>
      <c r="J273" s="29">
        <v>2</v>
      </c>
      <c r="K273" s="30" t="s">
        <v>195</v>
      </c>
      <c r="M273" s="43" t="str">
        <v>object</v>
      </c>
      <c r="N273" s="43" t="str">
        <f t="shared" si="23"/>
        <v>*object*</v>
      </c>
      <c r="O273" s="43" t="str">
        <v>*poss*</v>
      </c>
      <c r="P273" s="43">
        <f t="shared" si="24"/>
        <v>1</v>
      </c>
      <c r="Q273" s="43" t="str">
        <v>*rtm*</v>
      </c>
      <c r="R273" s="43">
        <v>5</v>
      </c>
      <c r="S273" s="43">
        <f t="shared" si="25"/>
        <v>2.2599999999999998</v>
      </c>
      <c r="T273" s="43">
        <f t="shared" si="26"/>
        <v>1</v>
      </c>
    </row>
    <row r="274" spans="7:20" ht="30">
      <c r="G274" s="27" cm="1">
        <f t="array" ref="G274">INDEX($D:$D, MATCH(1, (H274 &gt;= $B:$B) * (H274 &lt;= $C:$C), 0))</f>
        <v>5</v>
      </c>
      <c r="H274" s="28">
        <v>45977</v>
      </c>
      <c r="I274" s="29" t="s">
        <v>16</v>
      </c>
      <c r="J274" s="29">
        <v>4</v>
      </c>
      <c r="K274" s="30" t="s">
        <v>196</v>
      </c>
      <c r="M274" s="43" t="str">
        <v>button</v>
      </c>
      <c r="N274" s="43" t="str">
        <f t="shared" si="23"/>
        <v>*button*</v>
      </c>
      <c r="O274" s="43" t="str">
        <v>*paid*</v>
      </c>
      <c r="P274" s="43">
        <f t="shared" si="24"/>
        <v>1</v>
      </c>
      <c r="Q274" s="43" t="str">
        <v>*sav*</v>
      </c>
      <c r="R274" s="43">
        <v>5</v>
      </c>
      <c r="S274" s="43">
        <f t="shared" si="25"/>
        <v>2.2599999999999998</v>
      </c>
      <c r="T274" s="43">
        <f t="shared" si="26"/>
        <v>1</v>
      </c>
    </row>
    <row r="275" spans="7:20">
      <c r="G275" s="27" cm="1">
        <f t="array" ref="G275">INDEX($D:$D, MATCH(1, (H275 &gt;= $B:$B) * (H275 &lt;= $C:$C), 0))</f>
        <v>6</v>
      </c>
      <c r="H275" s="28">
        <v>45978</v>
      </c>
      <c r="I275" s="29" t="s">
        <v>28</v>
      </c>
      <c r="J275" s="29">
        <v>4</v>
      </c>
      <c r="K275" s="30" t="s">
        <v>197</v>
      </c>
      <c r="M275" s="43" t="str">
        <v>Color</v>
      </c>
      <c r="N275" s="43" t="str">
        <f t="shared" si="23"/>
        <v>*color*</v>
      </c>
      <c r="O275" s="43" t="str">
        <v>*communicat*</v>
      </c>
      <c r="P275" s="43">
        <f t="shared" si="24"/>
        <v>8</v>
      </c>
      <c r="Q275" s="43" t="str">
        <v>*marsh*</v>
      </c>
      <c r="R275" s="43">
        <v>5</v>
      </c>
      <c r="S275" s="43">
        <f t="shared" si="25"/>
        <v>2.2599999999999998</v>
      </c>
      <c r="T275" s="43">
        <f t="shared" si="26"/>
        <v>1</v>
      </c>
    </row>
    <row r="276" spans="7:20">
      <c r="G276" s="27" cm="1">
        <f t="array" ref="G276">INDEX($D:$D, MATCH(1, (H276 &gt;= $B:$B) * (H276 &lt;= $C:$C), 0))</f>
        <v>6</v>
      </c>
      <c r="H276" s="28">
        <v>45978</v>
      </c>
      <c r="I276" s="29" t="s">
        <v>24</v>
      </c>
      <c r="J276" s="29">
        <v>2.5</v>
      </c>
      <c r="K276" s="30" t="s">
        <v>198</v>
      </c>
      <c r="M276" s="43" t="str">
        <v>Fixing</v>
      </c>
      <c r="N276" s="43" t="str">
        <f t="shared" si="23"/>
        <v>*fix*</v>
      </c>
      <c r="O276" s="43" t="str">
        <v>*mechanic*</v>
      </c>
      <c r="P276" s="43">
        <f t="shared" si="24"/>
        <v>27</v>
      </c>
      <c r="Q276" s="43" t="str">
        <v>*view*</v>
      </c>
      <c r="R276" s="43">
        <v>5</v>
      </c>
      <c r="S276" s="43">
        <f t="shared" si="25"/>
        <v>2.2599999999999998</v>
      </c>
      <c r="T276" s="43">
        <f t="shared" si="26"/>
        <v>1</v>
      </c>
    </row>
    <row r="277" spans="7:20">
      <c r="G277" s="27" cm="1">
        <f t="array" ref="G277">INDEX($D:$D, MATCH(1, (H277 &gt;= $B:$B) * (H277 &lt;= $C:$C), 0))</f>
        <v>6</v>
      </c>
      <c r="H277" s="28">
        <v>45978</v>
      </c>
      <c r="I277" s="29" t="s">
        <v>16</v>
      </c>
      <c r="J277" s="29">
        <v>3</v>
      </c>
      <c r="K277" s="30" t="s">
        <v>198</v>
      </c>
      <c r="M277" s="43" t="str">
        <v>Bugs</v>
      </c>
      <c r="N277" s="43" t="str">
        <f t="shared" si="23"/>
        <v>*bugs*</v>
      </c>
      <c r="O277" s="43" t="str">
        <v>*added*</v>
      </c>
      <c r="P277" s="43">
        <f t="shared" si="24"/>
        <v>23</v>
      </c>
      <c r="Q277" s="43" t="str">
        <v>*cutscenes*</v>
      </c>
      <c r="R277" s="43">
        <v>5</v>
      </c>
      <c r="S277" s="43">
        <f t="shared" si="25"/>
        <v>2.2599999999999998</v>
      </c>
      <c r="T277" s="43">
        <f t="shared" si="26"/>
        <v>1</v>
      </c>
    </row>
    <row r="278" spans="7:20">
      <c r="G278" s="27" cm="1">
        <f t="array" ref="G278">INDEX($D:$D, MATCH(1, (H278 &gt;= $B:$B) * (H278 &lt;= $C:$C), 0))</f>
        <v>6</v>
      </c>
      <c r="H278" s="28">
        <v>45978</v>
      </c>
      <c r="I278" s="29" t="s">
        <v>28</v>
      </c>
      <c r="J278" s="29">
        <v>1.5</v>
      </c>
      <c r="K278" s="30" t="s">
        <v>102</v>
      </c>
      <c r="M278" s="43" t="str">
        <v>colored</v>
      </c>
      <c r="N278" s="43" t="str">
        <f t="shared" si="23"/>
        <v>*colored*</v>
      </c>
      <c r="O278" s="43" t="str">
        <v>*pause*</v>
      </c>
      <c r="P278" s="43">
        <f t="shared" si="24"/>
        <v>2</v>
      </c>
      <c r="Q278" s="43" t="str">
        <v>*summit*</v>
      </c>
      <c r="R278" s="43">
        <v>5</v>
      </c>
      <c r="S278" s="43">
        <f t="shared" si="25"/>
        <v>2.2599999999999998</v>
      </c>
      <c r="T278" s="43">
        <f t="shared" si="26"/>
        <v>1</v>
      </c>
    </row>
    <row r="279" spans="7:20">
      <c r="G279" s="27" cm="1">
        <f t="array" ref="G279">INDEX($D:$D, MATCH(1, (H279 &gt;= $B:$B) * (H279 &lt;= $C:$C), 0))</f>
        <v>6</v>
      </c>
      <c r="H279" s="28">
        <v>45978</v>
      </c>
      <c r="I279" s="29" t="s">
        <v>34</v>
      </c>
      <c r="J279" s="29">
        <v>1.5</v>
      </c>
      <c r="K279" s="30" t="s">
        <v>102</v>
      </c>
      <c r="M279" s="43" t="str">
        <v>materials,</v>
      </c>
      <c r="N279" s="43" t="str">
        <f t="shared" si="23"/>
        <v>*materials*</v>
      </c>
      <c r="O279" s="43" t="str">
        <v>*setts*</v>
      </c>
      <c r="P279" s="43">
        <f t="shared" si="24"/>
        <v>0</v>
      </c>
      <c r="Q279" s="43" t="str">
        <v>*course*</v>
      </c>
      <c r="R279" s="43">
        <v>4</v>
      </c>
      <c r="S279" s="43">
        <f t="shared" si="25"/>
        <v>2.35</v>
      </c>
      <c r="T279" s="43">
        <f t="shared" si="26"/>
        <v>1.04</v>
      </c>
    </row>
    <row r="280" spans="7:20">
      <c r="G280" s="27" cm="1">
        <f t="array" ref="G280">INDEX($D:$D, MATCH(1, (H280 &gt;= $B:$B) * (H280 &lt;= $C:$C), 0))</f>
        <v>6</v>
      </c>
      <c r="H280" s="28">
        <v>45978</v>
      </c>
      <c r="I280" s="29" t="s">
        <v>26</v>
      </c>
      <c r="J280" s="29">
        <v>1.5</v>
      </c>
      <c r="K280" s="30" t="s">
        <v>102</v>
      </c>
      <c r="M280" s="43" t="str">
        <v>several</v>
      </c>
      <c r="N280" s="43" t="str">
        <f t="shared" si="23"/>
        <v>*several*</v>
      </c>
      <c r="O280" s="43" t="str">
        <v>*escape*</v>
      </c>
      <c r="P280" s="43">
        <f t="shared" si="24"/>
        <v>1</v>
      </c>
      <c r="Q280" s="43" t="str">
        <v>*kickoff*</v>
      </c>
      <c r="R280" s="43">
        <v>4</v>
      </c>
      <c r="S280" s="43">
        <f t="shared" si="25"/>
        <v>2.35</v>
      </c>
      <c r="T280" s="43">
        <f t="shared" si="26"/>
        <v>1</v>
      </c>
    </row>
    <row r="281" spans="7:20">
      <c r="G281" s="27" cm="1">
        <f t="array" ref="G281">INDEX($D:$D, MATCH(1, (H281 &gt;= $B:$B) * (H281 &lt;= $C:$C), 0))</f>
        <v>6</v>
      </c>
      <c r="H281" s="28">
        <v>45978</v>
      </c>
      <c r="I281" s="29" t="s">
        <v>78</v>
      </c>
      <c r="J281" s="29">
        <v>1.5</v>
      </c>
      <c r="K281" s="30" t="s">
        <v>102</v>
      </c>
      <c r="M281" s="43" t="str">
        <v>versions</v>
      </c>
      <c r="N281" s="43" t="str">
        <f t="shared" si="23"/>
        <v>*versions*</v>
      </c>
      <c r="O281" s="43" t="str">
        <v>*feature*</v>
      </c>
      <c r="P281" s="43">
        <f t="shared" si="24"/>
        <v>3</v>
      </c>
      <c r="Q281" s="43" t="str">
        <v>*initial*</v>
      </c>
      <c r="R281" s="43">
        <v>4</v>
      </c>
      <c r="S281" s="43">
        <f t="shared" si="25"/>
        <v>2.35</v>
      </c>
      <c r="T281" s="43">
        <f t="shared" si="26"/>
        <v>1</v>
      </c>
    </row>
    <row r="282" spans="7:20">
      <c r="G282" s="27" cm="1">
        <f t="array" ref="G282">INDEX($D:$D, MATCH(1, (H282 &gt;= $B:$B) * (H282 &lt;= $C:$C), 0))</f>
        <v>6</v>
      </c>
      <c r="H282" s="28">
        <v>45979</v>
      </c>
      <c r="I282" s="29" t="s">
        <v>28</v>
      </c>
      <c r="J282" s="29">
        <v>1</v>
      </c>
      <c r="K282" s="30" t="s">
        <v>199</v>
      </c>
      <c r="M282" s="43" t="str">
        <v>based</v>
      </c>
      <c r="N282" s="43" t="str">
        <f t="shared" si="23"/>
        <v>*based*</v>
      </c>
      <c r="O282" s="43" t="str">
        <v>*as*</v>
      </c>
      <c r="P282" s="43">
        <f t="shared" si="24"/>
        <v>63</v>
      </c>
      <c r="Q282" s="43" t="str">
        <v>*concept*</v>
      </c>
      <c r="R282" s="43">
        <v>4</v>
      </c>
      <c r="S282" s="43">
        <f t="shared" si="25"/>
        <v>2.35</v>
      </c>
      <c r="T282" s="43">
        <f t="shared" si="26"/>
        <v>1</v>
      </c>
    </row>
    <row r="283" spans="7:20">
      <c r="G283" s="27" cm="1">
        <f t="array" ref="G283">INDEX($D:$D, MATCH(1, (H283 &gt;= $B:$B) * (H283 &lt;= $C:$C), 0))</f>
        <v>6</v>
      </c>
      <c r="H283" s="28">
        <v>45979</v>
      </c>
      <c r="I283" s="29" t="s">
        <v>28</v>
      </c>
      <c r="J283" s="29">
        <v>3</v>
      </c>
      <c r="K283" s="30" t="s">
        <v>200</v>
      </c>
      <c r="M283" s="43" t="str">
        <v>Logan's</v>
      </c>
      <c r="N283" s="43" t="str">
        <f t="shared" si="23"/>
        <v>*logans*</v>
      </c>
      <c r="O283" s="43" t="str">
        <v>*well*</v>
      </c>
      <c r="P283" s="43">
        <f t="shared" si="24"/>
        <v>2</v>
      </c>
      <c r="Q283" s="43" t="str">
        <v>*members*</v>
      </c>
      <c r="R283" s="43">
        <v>4</v>
      </c>
      <c r="S283" s="43">
        <f t="shared" si="25"/>
        <v>2.35</v>
      </c>
      <c r="T283" s="43">
        <f t="shared" si="26"/>
        <v>1</v>
      </c>
    </row>
    <row r="284" spans="7:20" ht="30">
      <c r="G284" s="27" cm="1">
        <f t="array" ref="G284">INDEX($D:$D, MATCH(1, (H284 &gt;= $B:$B) * (H284 &lt;= $C:$C), 0))</f>
        <v>6</v>
      </c>
      <c r="H284" s="28">
        <v>45979</v>
      </c>
      <c r="I284" s="29" t="s">
        <v>78</v>
      </c>
      <c r="J284" s="29">
        <v>3</v>
      </c>
      <c r="K284" s="30" t="s">
        <v>201</v>
      </c>
      <c r="M284" s="43" t="str">
        <v>documentation,</v>
      </c>
      <c r="N284" s="43" t="str">
        <f t="shared" si="23"/>
        <v>*documenta*</v>
      </c>
      <c r="O284" s="43" t="str">
        <v>*sound*</v>
      </c>
      <c r="P284" s="43">
        <f t="shared" si="24"/>
        <v>9</v>
      </c>
      <c r="Q284" s="43" t="str">
        <v>*material*</v>
      </c>
      <c r="R284" s="43">
        <v>4</v>
      </c>
      <c r="S284" s="43">
        <f t="shared" si="25"/>
        <v>2.35</v>
      </c>
      <c r="T284" s="43">
        <f t="shared" si="26"/>
        <v>1</v>
      </c>
    </row>
    <row r="285" spans="7:20">
      <c r="G285" s="27" cm="1">
        <f t="array" ref="G285">INDEX($D:$D, MATCH(1, (H285 &gt;= $B:$B) * (H285 &lt;= $C:$C), 0))</f>
        <v>6</v>
      </c>
      <c r="H285" s="28">
        <v>45979</v>
      </c>
      <c r="I285" s="29" t="s">
        <v>16</v>
      </c>
      <c r="J285" s="29">
        <v>2</v>
      </c>
      <c r="K285" s="30" t="s">
        <v>202</v>
      </c>
      <c r="M285" s="43" t="str">
        <v>sounds</v>
      </c>
      <c r="N285" s="43" t="str">
        <f t="shared" si="23"/>
        <v>*sounds*</v>
      </c>
      <c r="O285" s="43" t="str">
        <v>*fixed*</v>
      </c>
      <c r="P285" s="43">
        <f t="shared" si="24"/>
        <v>14</v>
      </c>
      <c r="Q285" s="43" t="str">
        <v>*errors*</v>
      </c>
      <c r="R285" s="43">
        <v>4</v>
      </c>
      <c r="S285" s="43">
        <f t="shared" si="25"/>
        <v>2.35</v>
      </c>
      <c r="T285" s="43">
        <f t="shared" si="26"/>
        <v>1</v>
      </c>
    </row>
    <row r="286" spans="7:20">
      <c r="G286" s="27" cm="1">
        <f t="array" ref="G286">INDEX($D:$D, MATCH(1, (H286 &gt;= $B:$B) * (H286 &lt;= $C:$C), 0))</f>
        <v>6</v>
      </c>
      <c r="H286" s="28">
        <v>45980</v>
      </c>
      <c r="I286" s="29" t="s">
        <v>26</v>
      </c>
      <c r="J286" s="29">
        <v>3</v>
      </c>
      <c r="K286" s="30" t="s">
        <v>203</v>
      </c>
      <c r="M286" s="43" t="str">
        <v>crystals</v>
      </c>
      <c r="N286" s="43" t="str">
        <f t="shared" si="23"/>
        <v>*crystals*</v>
      </c>
      <c r="O286" s="43" t="str">
        <v>*remain*</v>
      </c>
      <c r="P286" s="43">
        <f t="shared" si="24"/>
        <v>1</v>
      </c>
      <c r="Q286" s="43" t="str">
        <v>*marshland*</v>
      </c>
      <c r="R286" s="43">
        <v>4</v>
      </c>
      <c r="S286" s="43">
        <f t="shared" si="25"/>
        <v>2.35</v>
      </c>
      <c r="T286" s="43">
        <f t="shared" si="26"/>
        <v>1</v>
      </c>
    </row>
    <row r="287" spans="7:20">
      <c r="G287" s="27" cm="1">
        <f t="array" ref="G287">INDEX($D:$D, MATCH(1, (H287 &gt;= $B:$B) * (H287 &lt;= $C:$C), 0))</f>
        <v>6</v>
      </c>
      <c r="H287" s="28">
        <v>45980</v>
      </c>
      <c r="I287" s="29" t="s">
        <v>16</v>
      </c>
      <c r="J287" s="29">
        <v>1.5</v>
      </c>
      <c r="K287" s="30" t="s">
        <v>204</v>
      </c>
      <c r="M287" s="43" t="str">
        <v>Composing</v>
      </c>
      <c r="N287" s="43" t="str">
        <f t="shared" si="23"/>
        <v>*compos*</v>
      </c>
      <c r="O287" s="43" t="str">
        <v>*warns*</v>
      </c>
      <c r="P287" s="43">
        <f t="shared" si="24"/>
        <v>0</v>
      </c>
      <c r="Q287" s="43" t="str">
        <v>*about*</v>
      </c>
      <c r="R287" s="43">
        <v>4</v>
      </c>
      <c r="S287" s="43">
        <f t="shared" si="25"/>
        <v>2.35</v>
      </c>
      <c r="T287" s="43">
        <f t="shared" si="26"/>
        <v>1</v>
      </c>
    </row>
    <row r="288" spans="7:20">
      <c r="G288" s="27" cm="1">
        <f t="array" ref="G288">INDEX($D:$D, MATCH(1, (H288 &gt;= $B:$B) * (H288 &lt;= $C:$C), 0))</f>
        <v>6</v>
      </c>
      <c r="H288" s="28">
        <v>45980</v>
      </c>
      <c r="I288" s="29" t="s">
        <v>24</v>
      </c>
      <c r="J288" s="29">
        <v>4</v>
      </c>
      <c r="K288" s="30" t="s">
        <v>205</v>
      </c>
      <c r="M288" s="43" t="str">
        <v>researching</v>
      </c>
      <c r="N288" s="43" t="str">
        <f t="shared" si="23"/>
        <v>*research*</v>
      </c>
      <c r="O288" s="43" t="str">
        <v>*woodwind*</v>
      </c>
      <c r="P288" s="43">
        <f t="shared" si="24"/>
        <v>4</v>
      </c>
      <c r="Q288" s="43" t="str">
        <v>*tutorial*</v>
      </c>
      <c r="R288" s="43">
        <v>4</v>
      </c>
      <c r="S288" s="43">
        <f t="shared" si="25"/>
        <v>2.35</v>
      </c>
      <c r="T288" s="43">
        <f t="shared" si="26"/>
        <v>1</v>
      </c>
    </row>
    <row r="289" spans="7:20">
      <c r="G289" s="27" cm="1">
        <f t="array" ref="G289">INDEX($D:$D, MATCH(1, (H289 &gt;= $B:$B) * (H289 &lt;= $C:$C), 0))</f>
        <v>6</v>
      </c>
      <c r="H289" s="28">
        <v>45980</v>
      </c>
      <c r="I289" s="29" t="s">
        <v>24</v>
      </c>
      <c r="J289" s="29">
        <v>1</v>
      </c>
      <c r="K289" s="30" t="s">
        <v>77</v>
      </c>
      <c r="M289" s="43" t="str">
        <v>custom</v>
      </c>
      <c r="N289" s="43" t="str">
        <f t="shared" si="23"/>
        <v>*custom*</v>
      </c>
      <c r="O289" s="43" t="str">
        <v>*forest*</v>
      </c>
      <c r="P289" s="43">
        <f t="shared" si="24"/>
        <v>5</v>
      </c>
      <c r="Q289" s="43" t="str">
        <v>*woodwind*</v>
      </c>
      <c r="R289" s="43">
        <v>4</v>
      </c>
      <c r="S289" s="43">
        <f t="shared" si="25"/>
        <v>2.35</v>
      </c>
      <c r="T289" s="43">
        <f t="shared" si="26"/>
        <v>1</v>
      </c>
    </row>
    <row r="290" spans="7:20">
      <c r="G290" s="27" cm="1">
        <f t="array" ref="G290">INDEX($D:$D, MATCH(1, (H290 &gt;= $B:$B) * (H290 &lt;= $C:$C), 0))</f>
        <v>6</v>
      </c>
      <c r="H290" s="28">
        <v>45980</v>
      </c>
      <c r="I290" s="29" t="s">
        <v>78</v>
      </c>
      <c r="J290" s="29">
        <v>2</v>
      </c>
      <c r="K290" s="30" t="s">
        <v>206</v>
      </c>
      <c r="M290" s="43" t="str">
        <v>printing,</v>
      </c>
      <c r="N290" s="43" t="str">
        <f t="shared" si="23"/>
        <v>*print*</v>
      </c>
      <c r="O290" s="43" t="str">
        <v>*town*</v>
      </c>
      <c r="P290" s="43">
        <f t="shared" si="24"/>
        <v>2</v>
      </c>
      <c r="Q290" s="43" t="str">
        <v>*begin*</v>
      </c>
      <c r="R290" s="43">
        <v>4</v>
      </c>
      <c r="S290" s="43">
        <f t="shared" si="25"/>
        <v>2.35</v>
      </c>
      <c r="T290" s="43">
        <f t="shared" si="26"/>
        <v>1</v>
      </c>
    </row>
    <row r="291" spans="7:20">
      <c r="G291" s="27" cm="1">
        <f t="array" ref="G291">INDEX($D:$D, MATCH(1, (H291 &gt;= $B:$B) * (H291 &lt;= $C:$C), 0))</f>
        <v>6</v>
      </c>
      <c r="H291" s="28">
        <v>45980</v>
      </c>
      <c r="I291" s="29" t="s">
        <v>16</v>
      </c>
      <c r="J291" s="29">
        <v>1</v>
      </c>
      <c r="K291" s="30" t="s">
        <v>77</v>
      </c>
      <c r="M291" s="43" t="str">
        <v>choosing</v>
      </c>
      <c r="N291" s="43" t="str">
        <f t="shared" si="23"/>
        <v>*choos*</v>
      </c>
      <c r="O291" s="43" t="str">
        <v>*place*</v>
      </c>
      <c r="P291" s="43">
        <f t="shared" si="24"/>
        <v>6</v>
      </c>
      <c r="Q291" s="43" t="str">
        <v>*passage*</v>
      </c>
      <c r="R291" s="43">
        <v>4</v>
      </c>
      <c r="S291" s="43">
        <f t="shared" si="25"/>
        <v>2.35</v>
      </c>
      <c r="T291" s="43">
        <f t="shared" si="26"/>
        <v>1</v>
      </c>
    </row>
    <row r="292" spans="7:20">
      <c r="G292" s="27" cm="1">
        <f t="array" ref="G292">INDEX($D:$D, MATCH(1, (H292 &gt;= $B:$B) * (H292 &lt;= $C:$C), 0))</f>
        <v>6</v>
      </c>
      <c r="H292" s="28">
        <v>45980</v>
      </c>
      <c r="I292" s="29" t="s">
        <v>28</v>
      </c>
      <c r="J292" s="29">
        <v>1</v>
      </c>
      <c r="K292" s="30" t="s">
        <v>77</v>
      </c>
      <c r="M292" s="43" t="str">
        <v>possible</v>
      </c>
      <c r="N292" s="43" t="str">
        <f t="shared" si="23"/>
        <v>*poss*</v>
      </c>
      <c r="O292" s="43" t="str">
        <v>*pads*</v>
      </c>
      <c r="P292" s="43">
        <f t="shared" si="24"/>
        <v>1</v>
      </c>
      <c r="Q292" s="43" t="str">
        <v>*attempt*</v>
      </c>
      <c r="R292" s="43">
        <v>4</v>
      </c>
      <c r="S292" s="43">
        <f t="shared" si="25"/>
        <v>2.35</v>
      </c>
      <c r="T292" s="43">
        <f t="shared" si="26"/>
        <v>1</v>
      </c>
    </row>
    <row r="293" spans="7:20">
      <c r="G293" s="27" cm="1">
        <f t="array" ref="G293">INDEX($D:$D, MATCH(1, (H293 &gt;= $B:$B) * (H293 &lt;= $C:$C), 0))</f>
        <v>6</v>
      </c>
      <c r="H293" s="28">
        <v>45980</v>
      </c>
      <c r="I293" s="29" t="s">
        <v>26</v>
      </c>
      <c r="J293" s="29">
        <v>1</v>
      </c>
      <c r="K293" s="30" t="s">
        <v>77</v>
      </c>
      <c r="M293" s="43" t="str">
        <v>paid</v>
      </c>
      <c r="N293" s="43" t="str">
        <f t="shared" si="23"/>
        <v>*paid*</v>
      </c>
      <c r="O293" s="43" t="str">
        <v>*pressed*</v>
      </c>
      <c r="P293" s="43">
        <f t="shared" si="24"/>
        <v>1</v>
      </c>
      <c r="Q293" s="43" t="str">
        <v>*logan*</v>
      </c>
      <c r="R293" s="43">
        <v>4</v>
      </c>
      <c r="S293" s="43">
        <f t="shared" si="25"/>
        <v>2.35</v>
      </c>
      <c r="T293" s="43">
        <f t="shared" si="26"/>
        <v>1</v>
      </c>
    </row>
    <row r="294" spans="7:20">
      <c r="G294" s="27" cm="1">
        <f t="array" ref="G294">INDEX($D:$D, MATCH(1, (H294 &gt;= $B:$B) * (H294 &lt;= $C:$C), 0))</f>
        <v>6</v>
      </c>
      <c r="H294" s="28">
        <v>45980</v>
      </c>
      <c r="I294" s="29" t="s">
        <v>78</v>
      </c>
      <c r="J294" s="29">
        <v>1</v>
      </c>
      <c r="K294" s="30" t="s">
        <v>77</v>
      </c>
      <c r="M294" s="43" t="str">
        <v>Communicating</v>
      </c>
      <c r="N294" s="43" t="str">
        <f t="shared" si="23"/>
        <v>*communicat*</v>
      </c>
      <c r="O294" s="43" t="str">
        <v>*begin*</v>
      </c>
      <c r="P294" s="43">
        <f t="shared" si="24"/>
        <v>4</v>
      </c>
      <c r="Q294" s="43" t="str">
        <v>*redo*</v>
      </c>
      <c r="R294" s="43">
        <v>4</v>
      </c>
      <c r="S294" s="43">
        <f t="shared" si="25"/>
        <v>2.35</v>
      </c>
      <c r="T294" s="43">
        <f t="shared" si="26"/>
        <v>1</v>
      </c>
    </row>
    <row r="295" spans="7:20">
      <c r="G295" s="27" cm="1">
        <f t="array" ref="G295">INDEX($D:$D, MATCH(1, (H295 &gt;= $B:$B) * (H295 &lt;= $C:$C), 0))</f>
        <v>6</v>
      </c>
      <c r="H295" s="28">
        <v>45980</v>
      </c>
      <c r="I295" s="29" t="s">
        <v>34</v>
      </c>
      <c r="J295" s="29">
        <v>1</v>
      </c>
      <c r="K295" s="30" t="s">
        <v>77</v>
      </c>
      <c r="M295" s="43" t="str">
        <v>Adding</v>
      </c>
      <c r="N295" s="43" t="str">
        <f t="shared" si="23"/>
        <v>*add*</v>
      </c>
      <c r="O295" s="43" t="str">
        <v>*level*</v>
      </c>
      <c r="P295" s="43">
        <f t="shared" si="24"/>
        <v>1</v>
      </c>
      <c r="Q295" s="43" t="str">
        <v>*them*</v>
      </c>
      <c r="R295" s="43">
        <v>4</v>
      </c>
      <c r="S295" s="43">
        <f t="shared" si="25"/>
        <v>2.35</v>
      </c>
      <c r="T295" s="43">
        <f t="shared" si="26"/>
        <v>1</v>
      </c>
    </row>
    <row r="296" spans="7:20">
      <c r="G296" s="27" cm="1">
        <f t="array" ref="G296">INDEX($D:$D, MATCH(1, (H296 &gt;= $B:$B) * (H296 &lt;= $C:$C), 0))</f>
        <v>6</v>
      </c>
      <c r="H296" s="28">
        <v>45980</v>
      </c>
      <c r="I296" s="29" t="s">
        <v>16</v>
      </c>
      <c r="J296" s="29">
        <v>3</v>
      </c>
      <c r="K296" s="30" t="s">
        <v>207</v>
      </c>
      <c r="M296" s="43" t="str">
        <v>mechanic</v>
      </c>
      <c r="N296" s="43" t="str">
        <f t="shared" si="23"/>
        <v>*mechanic*</v>
      </c>
      <c r="O296" s="43" t="str">
        <v>*passage*</v>
      </c>
      <c r="P296" s="43">
        <f t="shared" si="24"/>
        <v>4</v>
      </c>
      <c r="Q296" s="43" t="str">
        <v>*improv*</v>
      </c>
      <c r="R296" s="43">
        <v>4</v>
      </c>
      <c r="S296" s="43">
        <f t="shared" si="25"/>
        <v>2.35</v>
      </c>
      <c r="T296" s="43">
        <f t="shared" si="26"/>
        <v>1</v>
      </c>
    </row>
    <row r="297" spans="7:20" ht="30">
      <c r="G297" s="27" cm="1">
        <f t="array" ref="G297">INDEX($D:$D, MATCH(1, (H297 &gt;= $B:$B) * (H297 &lt;= $C:$C), 0))</f>
        <v>6</v>
      </c>
      <c r="H297" s="28">
        <v>45981</v>
      </c>
      <c r="I297" s="29" t="s">
        <v>78</v>
      </c>
      <c r="J297" s="29">
        <v>3</v>
      </c>
      <c r="K297" s="30" t="s">
        <v>208</v>
      </c>
      <c r="M297" s="43" t="str">
        <v>Added</v>
      </c>
      <c r="N297" s="43" t="str">
        <f t="shared" si="23"/>
        <v>*added*</v>
      </c>
      <c r="O297" s="43" t="str">
        <v>*from*</v>
      </c>
      <c r="P297" s="43">
        <f t="shared" si="24"/>
        <v>6</v>
      </c>
      <c r="Q297" s="43" t="str">
        <v>*prompt*</v>
      </c>
      <c r="R297" s="43">
        <v>4</v>
      </c>
      <c r="S297" s="43">
        <f t="shared" si="25"/>
        <v>2.35</v>
      </c>
      <c r="T297" s="43">
        <f t="shared" si="26"/>
        <v>1</v>
      </c>
    </row>
    <row r="298" spans="7:20">
      <c r="G298" s="27" cm="1">
        <f t="array" ref="G298">INDEX($D:$D, MATCH(1, (H298 &gt;= $B:$B) * (H298 &lt;= $C:$C), 0))</f>
        <v>6</v>
      </c>
      <c r="H298" s="28">
        <v>45981</v>
      </c>
      <c r="I298" s="29" t="s">
        <v>26</v>
      </c>
      <c r="J298" s="29">
        <v>0.5</v>
      </c>
      <c r="K298" s="30" t="s">
        <v>209</v>
      </c>
      <c r="M298" s="43" t="str">
        <v>Pause</v>
      </c>
      <c r="N298" s="43" t="str">
        <f t="shared" si="23"/>
        <v>*pause*</v>
      </c>
      <c r="O298" s="43" t="str">
        <v>*paths*</v>
      </c>
      <c r="P298" s="43">
        <f t="shared" si="24"/>
        <v>2</v>
      </c>
      <c r="Q298" s="43" t="str">
        <v>*outline*</v>
      </c>
      <c r="R298" s="43">
        <v>4</v>
      </c>
      <c r="S298" s="43">
        <f t="shared" si="25"/>
        <v>2.35</v>
      </c>
      <c r="T298" s="43">
        <f t="shared" si="26"/>
        <v>1</v>
      </c>
    </row>
    <row r="299" spans="7:20">
      <c r="G299" s="27" cm="1">
        <f t="array" ref="G299">INDEX($D:$D, MATCH(1, (H299 &gt;= $B:$B) * (H299 &lt;= $C:$C), 0))</f>
        <v>6</v>
      </c>
      <c r="H299" s="28">
        <v>45981</v>
      </c>
      <c r="I299" s="29" t="s">
        <v>16</v>
      </c>
      <c r="J299" s="29">
        <v>0.5</v>
      </c>
      <c r="K299" s="30" t="s">
        <v>210</v>
      </c>
      <c r="M299" s="43" t="str">
        <v>Menu,</v>
      </c>
      <c r="N299" s="43" t="str">
        <f t="shared" si="23"/>
        <v>*menu*</v>
      </c>
      <c r="O299" s="43" t="str">
        <v>*everywhere*</v>
      </c>
      <c r="P299" s="43">
        <f t="shared" si="24"/>
        <v>1</v>
      </c>
      <c r="Q299" s="43" t="str">
        <v>*down*</v>
      </c>
      <c r="R299" s="43">
        <v>4</v>
      </c>
      <c r="S299" s="43">
        <f t="shared" si="25"/>
        <v>2.35</v>
      </c>
      <c r="T299" s="43">
        <f t="shared" si="26"/>
        <v>1</v>
      </c>
    </row>
    <row r="300" spans="7:20">
      <c r="G300" s="27" cm="1">
        <f t="array" ref="G300">INDEX($D:$D, MATCH(1, (H300 &gt;= $B:$B) * (H300 &lt;= $C:$C), 0))</f>
        <v>6</v>
      </c>
      <c r="H300" s="28">
        <v>45981</v>
      </c>
      <c r="I300" s="29" t="s">
        <v>24</v>
      </c>
      <c r="J300" s="29">
        <v>2.5</v>
      </c>
      <c r="K300" s="30" t="s">
        <v>211</v>
      </c>
      <c r="M300" s="43" t="str">
        <v>Settings</v>
      </c>
      <c r="N300" s="43" t="str">
        <f t="shared" si="23"/>
        <v>*setts*</v>
      </c>
      <c r="O300" s="43" t="str">
        <v>*build*</v>
      </c>
      <c r="P300" s="43">
        <f t="shared" si="24"/>
        <v>3</v>
      </c>
      <c r="Q300" s="43" t="str">
        <v>*drum*</v>
      </c>
      <c r="R300" s="43">
        <v>4</v>
      </c>
      <c r="S300" s="43">
        <f t="shared" si="25"/>
        <v>2.35</v>
      </c>
      <c r="T300" s="43">
        <f t="shared" si="26"/>
        <v>1</v>
      </c>
    </row>
    <row r="301" spans="7:20">
      <c r="G301" s="27">
        <v>6</v>
      </c>
      <c r="H301" s="28">
        <v>45981</v>
      </c>
      <c r="I301" s="29" t="s">
        <v>24</v>
      </c>
      <c r="J301" s="29">
        <v>1.5</v>
      </c>
      <c r="K301" s="30" t="s">
        <v>212</v>
      </c>
      <c r="M301" s="43" t="str">
        <v>Escape</v>
      </c>
      <c r="N301" s="43" t="str">
        <f t="shared" si="23"/>
        <v>*escape*</v>
      </c>
      <c r="O301" s="43" t="str">
        <v>*castle*</v>
      </c>
      <c r="P301" s="43">
        <f t="shared" si="24"/>
        <v>5</v>
      </c>
      <c r="Q301" s="43" t="str">
        <v>*notes*</v>
      </c>
      <c r="R301" s="43">
        <v>4</v>
      </c>
      <c r="S301" s="43">
        <f t="shared" si="25"/>
        <v>2.35</v>
      </c>
      <c r="T301" s="43">
        <f t="shared" si="26"/>
        <v>1</v>
      </c>
    </row>
    <row r="302" spans="7:20">
      <c r="G302" s="27" cm="1">
        <f t="array" ref="G302">INDEX($D:$D, MATCH(1, (H302 &gt;= $B:$B) * (H302 &lt;= $C:$C), 0))</f>
        <v>6</v>
      </c>
      <c r="H302" s="28">
        <v>45981</v>
      </c>
      <c r="I302" s="29" t="s">
        <v>28</v>
      </c>
      <c r="J302" s="29">
        <v>1.5</v>
      </c>
      <c r="K302" s="30" t="s">
        <v>211</v>
      </c>
      <c r="M302" s="43" t="str">
        <v>Feature,</v>
      </c>
      <c r="N302" s="43" t="str">
        <f t="shared" si="23"/>
        <v>*feature*</v>
      </c>
      <c r="O302" s="43" t="str">
        <v>*outliner*</v>
      </c>
      <c r="P302" s="43">
        <f t="shared" si="24"/>
        <v>1</v>
      </c>
      <c r="Q302" s="43" t="str">
        <v>*actor*</v>
      </c>
      <c r="R302" s="43">
        <v>4</v>
      </c>
      <c r="S302" s="43">
        <f t="shared" si="25"/>
        <v>2.35</v>
      </c>
      <c r="T302" s="43">
        <f t="shared" si="26"/>
        <v>1</v>
      </c>
    </row>
    <row r="303" spans="7:20">
      <c r="G303" s="27" cm="1">
        <f t="array" ref="G303">INDEX($D:$D, MATCH(1, (H303 &gt;= $B:$B) * (H303 &lt;= $C:$C), 0))</f>
        <v>6</v>
      </c>
      <c r="H303" s="28">
        <v>45981</v>
      </c>
      <c r="I303" s="29" t="s">
        <v>34</v>
      </c>
      <c r="J303" s="29">
        <v>2.5</v>
      </c>
      <c r="K303" s="30" t="s">
        <v>211</v>
      </c>
      <c r="M303" s="43" t="str">
        <v>as</v>
      </c>
      <c r="N303" s="43" t="str">
        <f t="shared" si="23"/>
        <v>*as*</v>
      </c>
      <c r="O303" s="43" t="str">
        <v>*complete*</v>
      </c>
      <c r="P303" s="43">
        <f t="shared" si="24"/>
        <v>3</v>
      </c>
      <c r="Q303" s="43" t="str">
        <v>*parkour*</v>
      </c>
      <c r="R303" s="43">
        <v>4</v>
      </c>
      <c r="S303" s="43">
        <f t="shared" si="25"/>
        <v>2.35</v>
      </c>
      <c r="T303" s="43">
        <f t="shared" si="26"/>
        <v>1</v>
      </c>
    </row>
    <row r="304" spans="7:20">
      <c r="G304" s="27" cm="1">
        <f t="array" ref="G304">INDEX($D:$D, MATCH(1, (H304 &gt;= $B:$B) * (H304 &lt;= $C:$C), 0))</f>
        <v>6</v>
      </c>
      <c r="H304" s="28">
        <v>45981</v>
      </c>
      <c r="I304" s="29" t="s">
        <v>26</v>
      </c>
      <c r="J304" s="29">
        <v>1.5</v>
      </c>
      <c r="K304" s="30" t="s">
        <v>211</v>
      </c>
      <c r="M304" s="43" t="str">
        <v>well</v>
      </c>
      <c r="N304" s="43" t="str">
        <f t="shared" si="23"/>
        <v>*well*</v>
      </c>
      <c r="O304" s="43" t="str">
        <v>*funcal*</v>
      </c>
      <c r="P304" s="43">
        <f t="shared" si="24"/>
        <v>0</v>
      </c>
      <c r="Q304" s="43" t="str">
        <v>*how*</v>
      </c>
      <c r="R304" s="43">
        <v>4</v>
      </c>
      <c r="S304" s="43">
        <f t="shared" si="25"/>
        <v>2.35</v>
      </c>
      <c r="T304" s="43">
        <f t="shared" si="26"/>
        <v>1</v>
      </c>
    </row>
    <row r="305" spans="7:20">
      <c r="G305" s="27" cm="1">
        <f t="array" ref="G305">INDEX($D:$D, MATCH(1, (H305 &gt;= $B:$B) * (H305 &lt;= $C:$C), 0))</f>
        <v>6</v>
      </c>
      <c r="H305" s="28">
        <v>45981</v>
      </c>
      <c r="I305" s="29" t="s">
        <v>16</v>
      </c>
      <c r="J305" s="29">
        <v>1.5</v>
      </c>
      <c r="K305" s="30" t="s">
        <v>211</v>
      </c>
      <c r="M305" s="43" t="str">
        <v>sound</v>
      </c>
      <c r="N305" s="43" t="str">
        <f t="shared" si="23"/>
        <v>*sound*</v>
      </c>
      <c r="O305" s="43" t="str">
        <v>*+*</v>
      </c>
      <c r="P305" s="43">
        <f t="shared" si="24"/>
        <v>13</v>
      </c>
      <c r="Q305" s="43" t="str">
        <v>*bp*</v>
      </c>
      <c r="R305" s="43">
        <v>4</v>
      </c>
      <c r="S305" s="43">
        <f t="shared" si="25"/>
        <v>2.35</v>
      </c>
      <c r="T305" s="43">
        <f t="shared" si="26"/>
        <v>1</v>
      </c>
    </row>
    <row r="306" spans="7:20">
      <c r="G306" s="27" cm="1">
        <f t="array" ref="G306">INDEX($D:$D, MATCH(1, (H306 &gt;= $B:$B) * (H306 &lt;= $C:$C), 0))</f>
        <v>6</v>
      </c>
      <c r="H306" s="28">
        <v>45981</v>
      </c>
      <c r="I306" s="29" t="s">
        <v>78</v>
      </c>
      <c r="J306" s="29">
        <v>2.5</v>
      </c>
      <c r="K306" s="30" t="s">
        <v>211</v>
      </c>
      <c r="M306" s="43" t="str">
        <v>Fixed</v>
      </c>
      <c r="N306" s="43" t="str">
        <f t="shared" si="23"/>
        <v>*fixed*</v>
      </c>
      <c r="O306" s="43" t="str">
        <v>*more*</v>
      </c>
      <c r="P306" s="43">
        <f t="shared" si="24"/>
        <v>9</v>
      </c>
      <c r="Q306" s="43" t="str">
        <v>*effect*</v>
      </c>
      <c r="R306" s="43">
        <v>4</v>
      </c>
      <c r="S306" s="43">
        <f t="shared" si="25"/>
        <v>2.35</v>
      </c>
      <c r="T306" s="43">
        <f t="shared" si="26"/>
        <v>1</v>
      </c>
    </row>
    <row r="307" spans="7:20">
      <c r="G307" s="27" cm="1">
        <f t="array" ref="G307">INDEX($D:$D, MATCH(1, (H307 &gt;= $B:$B) * (H307 &lt;= $C:$C), 0))</f>
        <v>6</v>
      </c>
      <c r="H307" s="28">
        <v>45981</v>
      </c>
      <c r="I307" s="29" t="s">
        <v>16</v>
      </c>
      <c r="J307" s="29">
        <v>3</v>
      </c>
      <c r="K307" s="30" t="s">
        <v>213</v>
      </c>
      <c r="M307" s="43" t="str">
        <v>remaining</v>
      </c>
      <c r="N307" s="43" t="str">
        <f t="shared" si="23"/>
        <v>*remain*</v>
      </c>
      <c r="O307" s="43" t="str">
        <v>*logic*</v>
      </c>
      <c r="P307" s="43">
        <f t="shared" si="24"/>
        <v>8</v>
      </c>
      <c r="Q307" s="43" t="str">
        <v>*trouble*</v>
      </c>
      <c r="R307" s="43">
        <v>4</v>
      </c>
      <c r="S307" s="43">
        <f t="shared" si="25"/>
        <v>2.35</v>
      </c>
      <c r="T307" s="43">
        <f t="shared" si="26"/>
        <v>1</v>
      </c>
    </row>
    <row r="308" spans="7:20">
      <c r="G308" s="27" cm="1">
        <f t="array" ref="G308">INDEX($D:$D, MATCH(1, (H308 &gt;= $B:$B) * (H308 &lt;= $C:$C), 0))</f>
        <v>6</v>
      </c>
      <c r="H308" s="28">
        <v>45982</v>
      </c>
      <c r="I308" s="29" t="s">
        <v>16</v>
      </c>
      <c r="J308" s="29">
        <v>2</v>
      </c>
      <c r="K308" s="30" t="s">
        <v>214</v>
      </c>
      <c r="M308" s="43" t="str">
        <v>warnings</v>
      </c>
      <c r="N308" s="43" t="str">
        <f t="shared" si="23"/>
        <v>*warns*</v>
      </c>
      <c r="O308" s="43" t="str">
        <v>*common*</v>
      </c>
      <c r="P308" s="43">
        <f t="shared" si="24"/>
        <v>2</v>
      </c>
      <c r="Q308" s="43" t="str">
        <v>*shoot*</v>
      </c>
      <c r="R308" s="43">
        <v>4</v>
      </c>
      <c r="S308" s="43">
        <f t="shared" si="25"/>
        <v>2.35</v>
      </c>
      <c r="T308" s="43">
        <f t="shared" si="26"/>
        <v>1</v>
      </c>
    </row>
    <row r="309" spans="7:20">
      <c r="G309" s="27" cm="1">
        <f t="array" ref="G309">INDEX($D:$D, MATCH(1, (H309 &gt;= $B:$B) * (H309 &lt;= $C:$C), 0))</f>
        <v>6</v>
      </c>
      <c r="H309" s="28">
        <v>45982</v>
      </c>
      <c r="I309" s="29" t="s">
        <v>16</v>
      </c>
      <c r="J309" s="29">
        <v>6</v>
      </c>
      <c r="K309" s="30" t="s">
        <v>215</v>
      </c>
      <c r="M309" s="43" t="str">
        <v>documentation</v>
      </c>
      <c r="N309" s="43" t="str">
        <f t="shared" si="23"/>
        <v>*documenta*</v>
      </c>
      <c r="O309" s="43" t="str">
        <v>*support*</v>
      </c>
      <c r="P309" s="43">
        <f t="shared" si="24"/>
        <v>3</v>
      </c>
      <c r="Q309" s="43" t="str">
        <v>*end*</v>
      </c>
      <c r="R309" s="43">
        <v>4</v>
      </c>
      <c r="S309" s="43">
        <f t="shared" si="25"/>
        <v>2.35</v>
      </c>
      <c r="T309" s="43">
        <f t="shared" si="26"/>
        <v>1</v>
      </c>
    </row>
    <row r="310" spans="7:20">
      <c r="G310" s="27" cm="1">
        <f t="array" ref="G310">INDEX($D:$D, MATCH(1, (H310 &gt;= $B:$B) * (H310 &lt;= $C:$C), 0))</f>
        <v>6</v>
      </c>
      <c r="H310" s="28">
        <v>45983</v>
      </c>
      <c r="I310" s="29" t="s">
        <v>28</v>
      </c>
      <c r="J310" s="29">
        <v>3</v>
      </c>
      <c r="K310" s="30" t="s">
        <v>216</v>
      </c>
      <c r="M310" s="43" t="str">
        <v>Woodwind</v>
      </c>
      <c r="N310" s="43" t="str">
        <f t="shared" si="23"/>
        <v>*woodwind*</v>
      </c>
      <c r="O310" s="43" t="str">
        <v>*async*</v>
      </c>
      <c r="P310" s="43">
        <f t="shared" si="24"/>
        <v>1</v>
      </c>
      <c r="Q310" s="43" t="str">
        <v>*puzzles*</v>
      </c>
      <c r="R310" s="43">
        <v>4</v>
      </c>
      <c r="S310" s="43">
        <f t="shared" si="25"/>
        <v>2.35</v>
      </c>
      <c r="T310" s="43">
        <f t="shared" si="26"/>
        <v>1</v>
      </c>
    </row>
    <row r="311" spans="7:20">
      <c r="G311" s="27" cm="1">
        <f t="array" ref="G311">INDEX($D:$D, MATCH(1, (H311 &gt;= $B:$B) * (H311 &lt;= $C:$C), 0))</f>
        <v>6</v>
      </c>
      <c r="H311" s="28">
        <v>45983</v>
      </c>
      <c r="I311" s="29" t="s">
        <v>16</v>
      </c>
      <c r="J311" s="29">
        <v>1.5</v>
      </c>
      <c r="K311" s="30" t="s">
        <v>217</v>
      </c>
      <c r="M311" s="43" t="str">
        <v>forest</v>
      </c>
      <c r="N311" s="43" t="str">
        <f t="shared" si="23"/>
        <v>*forest*</v>
      </c>
      <c r="O311" s="43" t="str">
        <v>*load*</v>
      </c>
      <c r="P311" s="43">
        <f t="shared" si="24"/>
        <v>7</v>
      </c>
      <c r="Q311" s="43" t="str">
        <v>*walk*</v>
      </c>
      <c r="R311" s="43">
        <v>4</v>
      </c>
      <c r="S311" s="43">
        <f t="shared" si="25"/>
        <v>2.35</v>
      </c>
      <c r="T311" s="43">
        <f t="shared" si="26"/>
        <v>1</v>
      </c>
    </row>
    <row r="312" spans="7:20" ht="45">
      <c r="G312" s="27" cm="1">
        <f t="array" ref="G312">INDEX($D:$D, MATCH(1, (H312 &gt;= $B:$B) * (H312 &lt;= $C:$C), 0))</f>
        <v>6</v>
      </c>
      <c r="H312" s="28">
        <v>45984</v>
      </c>
      <c r="I312" s="29" t="s">
        <v>16</v>
      </c>
      <c r="J312" s="29">
        <v>3</v>
      </c>
      <c r="K312" s="30" t="s">
        <v>218</v>
      </c>
      <c r="M312" s="43" t="str">
        <v>Percussion</v>
      </c>
      <c r="N312" s="43" t="str">
        <f t="shared" ref="N312:N375" si="27">_xlfn.CONCAT("*",TRIM(CLEAN(_xlfn.REGEXREPLACE(LOWER($M312),$N$51,""))),"*")</f>
        <v>*percussion*</v>
      </c>
      <c r="O312" s="43" t="str">
        <v>*basic*</v>
      </c>
      <c r="P312" s="43">
        <f t="shared" ref="P312:P375" si="28">COUNTIF($K$5:$K$1000,$O312)</f>
        <v>3</v>
      </c>
      <c r="Q312" s="43" t="str">
        <v>*internal*</v>
      </c>
      <c r="R312" s="43">
        <v>4</v>
      </c>
      <c r="S312" s="43">
        <f t="shared" ref="S312:S375" si="29">ROUND(LOG(COUNTA($M$54:$M$1000)/R312,10),2)</f>
        <v>2.35</v>
      </c>
      <c r="T312" s="43">
        <f t="shared" si="26"/>
        <v>1</v>
      </c>
    </row>
    <row r="313" spans="7:20" ht="45">
      <c r="G313" s="27" cm="1">
        <f t="array" ref="G313">INDEX($D:$D, MATCH(1, (H313 &gt;= $B:$B) * (H313 &lt;= $C:$C), 0))</f>
        <v>6</v>
      </c>
      <c r="H313" s="28">
        <v>45985</v>
      </c>
      <c r="I313" s="29" t="s">
        <v>34</v>
      </c>
      <c r="J313" s="29">
        <v>12</v>
      </c>
      <c r="K313" s="30" t="s">
        <v>219</v>
      </c>
      <c r="M313" s="43" t="str">
        <v>town,</v>
      </c>
      <c r="N313" s="43" t="str">
        <f t="shared" si="27"/>
        <v>*town*</v>
      </c>
      <c r="O313" s="43" t="str">
        <v>*screens*</v>
      </c>
      <c r="P313" s="43">
        <f t="shared" si="28"/>
        <v>1</v>
      </c>
      <c r="Q313" s="43" t="str">
        <v>*collision*</v>
      </c>
      <c r="R313" s="43">
        <v>4</v>
      </c>
      <c r="S313" s="43">
        <f t="shared" si="29"/>
        <v>2.35</v>
      </c>
      <c r="T313" s="43">
        <f t="shared" ref="T313:T376" si="30">ROUND($S313/$S312,2)</f>
        <v>1</v>
      </c>
    </row>
    <row r="314" spans="7:20">
      <c r="G314" s="27" t="str" cm="1">
        <f t="array" ref="G314">INDEX($D:$D, MATCH(1, (H314 &gt;= $B:$B) * (H314 &lt;= $C:$C), 0))</f>
        <v>THANKSGIVING</v>
      </c>
      <c r="H314" s="28">
        <v>45988</v>
      </c>
      <c r="I314" s="29" t="s">
        <v>16</v>
      </c>
      <c r="J314" s="29">
        <v>2</v>
      </c>
      <c r="K314" s="30" t="s">
        <v>220</v>
      </c>
      <c r="M314" s="43" t="str">
        <v>place</v>
      </c>
      <c r="N314" s="43" t="str">
        <f t="shared" si="27"/>
        <v>*place*</v>
      </c>
      <c r="O314" s="43" t="str">
        <v>*logos*</v>
      </c>
      <c r="P314" s="43">
        <f t="shared" si="28"/>
        <v>3</v>
      </c>
      <c r="Q314" s="43" t="str">
        <v>*func*</v>
      </c>
      <c r="R314" s="43">
        <v>4</v>
      </c>
      <c r="S314" s="43">
        <f t="shared" si="29"/>
        <v>2.35</v>
      </c>
      <c r="T314" s="43">
        <f t="shared" si="30"/>
        <v>1</v>
      </c>
    </row>
    <row r="315" spans="7:20">
      <c r="G315" s="27" t="str" cm="1">
        <f t="array" ref="G315">INDEX($D:$D, MATCH(1, (H315 &gt;= $B:$B) * (H315 &lt;= $C:$C), 0))</f>
        <v>THANKSGIVING</v>
      </c>
      <c r="H315" s="28">
        <v>45989</v>
      </c>
      <c r="I315" s="29" t="s">
        <v>26</v>
      </c>
      <c r="J315" s="29">
        <v>5</v>
      </c>
      <c r="K315" s="30" t="s">
        <v>221</v>
      </c>
      <c r="M315" s="43" t="str">
        <v>pads</v>
      </c>
      <c r="N315" s="43" t="str">
        <f t="shared" si="27"/>
        <v>*pads*</v>
      </c>
      <c r="O315" s="43" t="str">
        <v>*worked*</v>
      </c>
      <c r="P315" s="43">
        <f t="shared" si="28"/>
        <v>19</v>
      </c>
      <c r="Q315" s="43" t="str">
        <v>*small*</v>
      </c>
      <c r="R315" s="43">
        <v>4</v>
      </c>
      <c r="S315" s="43">
        <f t="shared" si="29"/>
        <v>2.35</v>
      </c>
      <c r="T315" s="43">
        <f t="shared" si="30"/>
        <v>1</v>
      </c>
    </row>
    <row r="316" spans="7:20">
      <c r="G316" s="27" t="str" cm="1">
        <f t="array" ref="G316">INDEX($D:$D, MATCH(1, (H316 &gt;= $B:$B) * (H316 &lt;= $C:$C), 0))</f>
        <v>THANKSGIVING</v>
      </c>
      <c r="H316" s="28">
        <v>45989</v>
      </c>
      <c r="I316" s="29" t="s">
        <v>26</v>
      </c>
      <c r="J316" s="29">
        <v>0.5</v>
      </c>
      <c r="K316" s="30" t="s">
        <v>222</v>
      </c>
      <c r="M316" s="43" t="str">
        <v>Keys</v>
      </c>
      <c r="N316" s="43" t="str">
        <f t="shared" si="27"/>
        <v>*keys*</v>
      </c>
      <c r="O316" s="43" t="str">
        <v>*trail*</v>
      </c>
      <c r="P316" s="43">
        <f t="shared" si="28"/>
        <v>2</v>
      </c>
      <c r="Q316" s="43" t="str">
        <v>*site*</v>
      </c>
      <c r="R316" s="43">
        <v>4</v>
      </c>
      <c r="S316" s="43">
        <f t="shared" si="29"/>
        <v>2.35</v>
      </c>
      <c r="T316" s="43">
        <f t="shared" si="30"/>
        <v>1</v>
      </c>
    </row>
    <row r="317" spans="7:20">
      <c r="G317" s="27" t="str" cm="1">
        <f t="array" ref="G317">INDEX($D:$D, MATCH(1, (H317 &gt;= $B:$B) * (H317 &lt;= $C:$C), 0))</f>
        <v>THANKSGIVING</v>
      </c>
      <c r="H317" s="28">
        <v>45991</v>
      </c>
      <c r="I317" s="29" t="s">
        <v>16</v>
      </c>
      <c r="J317" s="29">
        <v>3</v>
      </c>
      <c r="K317" s="30" t="s">
        <v>220</v>
      </c>
      <c r="M317" s="43" t="str">
        <v>cave,</v>
      </c>
      <c r="N317" s="43" t="str">
        <f t="shared" si="27"/>
        <v>*cave*</v>
      </c>
      <c r="O317" s="43" t="str">
        <v>*behind*</v>
      </c>
      <c r="P317" s="43">
        <f t="shared" si="28"/>
        <v>1</v>
      </c>
      <c r="Q317" s="43" t="str">
        <v>*particle*</v>
      </c>
      <c r="R317" s="43">
        <v>4</v>
      </c>
      <c r="S317" s="43">
        <f t="shared" si="29"/>
        <v>2.35</v>
      </c>
      <c r="T317" s="43">
        <f t="shared" si="30"/>
        <v>1</v>
      </c>
    </row>
    <row r="318" spans="7:20">
      <c r="G318" s="27" t="str" cm="1">
        <f t="array" ref="G318">INDEX($D:$D, MATCH(1, (H318 &gt;= $B:$B) * (H318 &lt;= $C:$C), 0))</f>
        <v>THANKSGIVING</v>
      </c>
      <c r="H318" s="28">
        <v>45991</v>
      </c>
      <c r="I318" s="29" t="s">
        <v>28</v>
      </c>
      <c r="J318" s="29">
        <v>3</v>
      </c>
      <c r="K318" s="30" t="s">
        <v>223</v>
      </c>
      <c r="M318" s="43" t="str">
        <v>buttons,</v>
      </c>
      <c r="N318" s="43" t="str">
        <f t="shared" si="27"/>
        <v>*buttons*</v>
      </c>
      <c r="O318" s="43" t="str">
        <v>*user*</v>
      </c>
      <c r="P318" s="43">
        <f t="shared" si="28"/>
        <v>2</v>
      </c>
      <c r="Q318" s="43" t="str">
        <v>*guest*</v>
      </c>
      <c r="R318" s="43">
        <v>4</v>
      </c>
      <c r="S318" s="43">
        <f t="shared" si="29"/>
        <v>2.35</v>
      </c>
      <c r="T318" s="43">
        <f t="shared" si="30"/>
        <v>1</v>
      </c>
    </row>
    <row r="319" spans="7:20" ht="30">
      <c r="G319" s="27" cm="1">
        <f t="array" ref="G319">INDEX($D:$D, MATCH(1, (H319 &gt;= $B:$B) * (H319 &lt;= $C:$C), 0))</f>
        <v>7</v>
      </c>
      <c r="H319" s="28">
        <v>45992</v>
      </c>
      <c r="I319" s="29" t="s">
        <v>26</v>
      </c>
      <c r="J319" s="29">
        <v>1</v>
      </c>
      <c r="K319" s="30" t="s">
        <v>224</v>
      </c>
      <c r="M319" s="43" t="str">
        <v>pressed</v>
      </c>
      <c r="N319" s="43" t="str">
        <f t="shared" si="27"/>
        <v>*pressed*</v>
      </c>
      <c r="O319" s="43" t="str">
        <v>*move*</v>
      </c>
      <c r="P319" s="43">
        <f t="shared" si="28"/>
        <v>5</v>
      </c>
      <c r="Q319" s="43" t="str">
        <v>*bind*</v>
      </c>
      <c r="R319" s="43">
        <v>4</v>
      </c>
      <c r="S319" s="43">
        <f t="shared" si="29"/>
        <v>2.35</v>
      </c>
      <c r="T319" s="43">
        <f t="shared" si="30"/>
        <v>1</v>
      </c>
    </row>
    <row r="320" spans="7:20">
      <c r="G320" s="27" cm="1">
        <f t="array" ref="G320">INDEX($D:$D, MATCH(1, (H320 &gt;= $B:$B) * (H320 &lt;= $C:$C), 0))</f>
        <v>7</v>
      </c>
      <c r="H320" s="28">
        <v>45992</v>
      </c>
      <c r="I320" s="29" t="s">
        <v>26</v>
      </c>
      <c r="J320" s="29">
        <v>1</v>
      </c>
      <c r="K320" s="30" t="s">
        <v>225</v>
      </c>
      <c r="M320" s="43" t="str">
        <v>sound,</v>
      </c>
      <c r="N320" s="43" t="str">
        <f t="shared" si="27"/>
        <v>*sound*</v>
      </c>
      <c r="O320" s="43" t="str">
        <v>*gener*</v>
      </c>
      <c r="P320" s="43">
        <f t="shared" si="28"/>
        <v>1</v>
      </c>
      <c r="Q320" s="43" t="str">
        <v>*dialogue*</v>
      </c>
      <c r="R320" s="43">
        <v>4</v>
      </c>
      <c r="S320" s="43">
        <f t="shared" si="29"/>
        <v>2.35</v>
      </c>
      <c r="T320" s="43">
        <f t="shared" si="30"/>
        <v>1</v>
      </c>
    </row>
    <row r="321" spans="7:20">
      <c r="G321" s="27" cm="1">
        <f t="array" ref="G321">INDEX($D:$D, MATCH(1, (H321 &gt;= $B:$B) * (H321 &lt;= $C:$C), 0))</f>
        <v>7</v>
      </c>
      <c r="H321" s="28">
        <v>45992</v>
      </c>
      <c r="I321" s="29" t="s">
        <v>16</v>
      </c>
      <c r="J321" s="29">
        <v>2</v>
      </c>
      <c r="K321" s="30" t="s">
        <v>220</v>
      </c>
      <c r="M321" s="43" t="str">
        <v>begin</v>
      </c>
      <c r="N321" s="43" t="str">
        <f t="shared" si="27"/>
        <v>*begin*</v>
      </c>
      <c r="O321" s="43" t="str">
        <v>*files*</v>
      </c>
      <c r="P321" s="43">
        <f t="shared" si="28"/>
        <v>2</v>
      </c>
      <c r="Q321" s="43" t="str">
        <v>*tons*</v>
      </c>
      <c r="R321" s="43">
        <v>4</v>
      </c>
      <c r="S321" s="43">
        <f t="shared" si="29"/>
        <v>2.35</v>
      </c>
      <c r="T321" s="43">
        <f t="shared" si="30"/>
        <v>1</v>
      </c>
    </row>
    <row r="322" spans="7:20">
      <c r="G322" s="27" cm="1">
        <f t="array" ref="G322">INDEX($D:$D, MATCH(1, (H322 &gt;= $B:$B) * (H322 &lt;= $C:$C), 0))</f>
        <v>7</v>
      </c>
      <c r="H322" s="28">
        <v>45992</v>
      </c>
      <c r="I322" s="29" t="s">
        <v>16</v>
      </c>
      <c r="J322" s="29">
        <v>4</v>
      </c>
      <c r="K322" s="30" t="s">
        <v>226</v>
      </c>
      <c r="M322" s="43" t="str">
        <v>level</v>
      </c>
      <c r="N322" s="43" t="str">
        <f t="shared" si="27"/>
        <v>*level*</v>
      </c>
      <c r="O322" s="43" t="str">
        <v>*mode*</v>
      </c>
      <c r="P322" s="43">
        <f t="shared" si="28"/>
        <v>12</v>
      </c>
      <c r="Q322" s="43" t="str">
        <v>*interview*</v>
      </c>
      <c r="R322" s="43">
        <v>3</v>
      </c>
      <c r="S322" s="43">
        <f t="shared" si="29"/>
        <v>2.48</v>
      </c>
      <c r="T322" s="43">
        <f t="shared" si="30"/>
        <v>1.06</v>
      </c>
    </row>
    <row r="323" spans="7:20">
      <c r="G323" s="27" cm="1">
        <f t="array" ref="G323">INDEX($D:$D, MATCH(1, (H323 &gt;= $B:$B) * (H323 &lt;= $C:$C), 0))</f>
        <v>7</v>
      </c>
      <c r="H323" s="28">
        <v>45992</v>
      </c>
      <c r="I323" s="29" t="s">
        <v>78</v>
      </c>
      <c r="J323" s="29">
        <v>2</v>
      </c>
      <c r="K323" s="30" t="s">
        <v>227</v>
      </c>
      <c r="M323" s="43" t="str">
        <v>passage</v>
      </c>
      <c r="N323" s="43" t="str">
        <f t="shared" si="27"/>
        <v>*passage*</v>
      </c>
      <c r="O323" s="43" t="str">
        <v>*collisions*</v>
      </c>
      <c r="P323" s="43">
        <f t="shared" si="28"/>
        <v>1</v>
      </c>
      <c r="Q323" s="43" t="str">
        <v>*pm*</v>
      </c>
      <c r="R323" s="43">
        <v>3</v>
      </c>
      <c r="S323" s="43">
        <f t="shared" si="29"/>
        <v>2.48</v>
      </c>
      <c r="T323" s="43">
        <f t="shared" si="30"/>
        <v>1</v>
      </c>
    </row>
    <row r="324" spans="7:20">
      <c r="G324" s="27" cm="1">
        <f t="array" ref="G324">INDEX($D:$D, MATCH(1, (H324 &gt;= $B:$B) * (H324 &lt;= $C:$C), 0))</f>
        <v>7</v>
      </c>
      <c r="H324" s="28">
        <v>45992</v>
      </c>
      <c r="I324" s="29" t="s">
        <v>24</v>
      </c>
      <c r="J324" s="29">
        <v>4</v>
      </c>
      <c r="K324" s="30" t="s">
        <v>228</v>
      </c>
      <c r="M324" s="43" t="str">
        <v>from</v>
      </c>
      <c r="N324" s="43" t="str">
        <f t="shared" si="27"/>
        <v>*from*</v>
      </c>
      <c r="O324" s="43" t="str">
        <v>*moved*</v>
      </c>
      <c r="P324" s="43">
        <f t="shared" si="28"/>
        <v>2</v>
      </c>
      <c r="Q324" s="43" t="str">
        <v>*quick*</v>
      </c>
      <c r="R324" s="43">
        <v>3</v>
      </c>
      <c r="S324" s="43">
        <f t="shared" si="29"/>
        <v>2.48</v>
      </c>
      <c r="T324" s="43">
        <f t="shared" si="30"/>
        <v>1</v>
      </c>
    </row>
    <row r="325" spans="7:20">
      <c r="G325" s="27" cm="1">
        <f t="array" ref="G325">INDEX($D:$D, MATCH(1, (H325 &gt;= $B:$B) * (H325 &lt;= $C:$C), 0))</f>
        <v>7</v>
      </c>
      <c r="H325" s="28">
        <v>45992</v>
      </c>
      <c r="I325" s="29" t="s">
        <v>28</v>
      </c>
      <c r="J325" s="29">
        <v>1</v>
      </c>
      <c r="K325" s="30" t="s">
        <v>229</v>
      </c>
      <c r="M325" s="43" t="str">
        <v>brass,</v>
      </c>
      <c r="N325" s="43" t="str">
        <f t="shared" si="27"/>
        <v>*brass*</v>
      </c>
      <c r="O325" s="43" t="str">
        <v>*enhanced*</v>
      </c>
      <c r="P325" s="43">
        <f t="shared" si="28"/>
        <v>1</v>
      </c>
      <c r="Q325" s="43" t="str">
        <v>*membership*</v>
      </c>
      <c r="R325" s="43">
        <v>3</v>
      </c>
      <c r="S325" s="43">
        <f t="shared" si="29"/>
        <v>2.48</v>
      </c>
      <c r="T325" s="43">
        <f t="shared" si="30"/>
        <v>1</v>
      </c>
    </row>
    <row r="326" spans="7:20">
      <c r="G326" s="27" cm="1">
        <f t="array" ref="G326">INDEX($D:$D, MATCH(1, (H326 &gt;= $B:$B) * (H326 &lt;= $C:$C), 0))</f>
        <v>7</v>
      </c>
      <c r="H326" s="28">
        <v>45992</v>
      </c>
      <c r="I326" s="29" t="s">
        <v>26</v>
      </c>
      <c r="J326" s="29">
        <v>1.5</v>
      </c>
      <c r="K326" s="30" t="s">
        <v>229</v>
      </c>
      <c r="M326" s="43" t="str">
        <v>paths</v>
      </c>
      <c r="N326" s="43" t="str">
        <f t="shared" si="27"/>
        <v>*paths*</v>
      </c>
      <c r="O326" s="43" t="str">
        <v>*features*</v>
      </c>
      <c r="P326" s="43">
        <f t="shared" si="28"/>
        <v>2</v>
      </c>
      <c r="Q326" s="43" t="str">
        <v>*vote*</v>
      </c>
      <c r="R326" s="43">
        <v>3</v>
      </c>
      <c r="S326" s="43">
        <f t="shared" si="29"/>
        <v>2.48</v>
      </c>
      <c r="T326" s="43">
        <f t="shared" si="30"/>
        <v>1</v>
      </c>
    </row>
    <row r="327" spans="7:20">
      <c r="G327" s="27" cm="1">
        <f t="array" ref="G327">INDEX($D:$D, MATCH(1, (H327 &gt;= $B:$B) * (H327 &lt;= $C:$C), 0))</f>
        <v>7</v>
      </c>
      <c r="H327" s="28">
        <v>45992</v>
      </c>
      <c r="I327" s="29" t="s">
        <v>34</v>
      </c>
      <c r="J327" s="29">
        <v>1.5</v>
      </c>
      <c r="K327" s="30" t="s">
        <v>229</v>
      </c>
      <c r="M327" s="43" t="str">
        <v>everywhere,</v>
      </c>
      <c r="N327" s="43" t="str">
        <f t="shared" si="27"/>
        <v>*everywhere*</v>
      </c>
      <c r="O327" s="43" t="str">
        <v>*music*</v>
      </c>
      <c r="P327" s="43">
        <f t="shared" si="28"/>
        <v>23</v>
      </c>
      <c r="Q327" s="43" t="str">
        <v>*sculpt*</v>
      </c>
      <c r="R327" s="43">
        <v>3</v>
      </c>
      <c r="S327" s="43">
        <f t="shared" si="29"/>
        <v>2.48</v>
      </c>
      <c r="T327" s="43">
        <f t="shared" si="30"/>
        <v>1</v>
      </c>
    </row>
    <row r="328" spans="7:20">
      <c r="G328" s="27" cm="1">
        <f t="array" ref="G328">INDEX($D:$D, MATCH(1, (H328 &gt;= $B:$B) * (H328 &lt;= $C:$C), 0))</f>
        <v>7</v>
      </c>
      <c r="H328" s="28">
        <v>45992</v>
      </c>
      <c r="I328" s="29" t="s">
        <v>78</v>
      </c>
      <c r="J328" s="29">
        <v>1.5</v>
      </c>
      <c r="K328" s="30" t="s">
        <v>229</v>
      </c>
      <c r="M328" s="43" t="str">
        <v>build</v>
      </c>
      <c r="N328" s="43" t="str">
        <f t="shared" si="27"/>
        <v>*build*</v>
      </c>
      <c r="O328" s="43" t="str">
        <v>*cleanup*</v>
      </c>
      <c r="P328" s="43">
        <f t="shared" si="28"/>
        <v>5</v>
      </c>
      <c r="Q328" s="43" t="str">
        <v>*my*</v>
      </c>
      <c r="R328" s="43">
        <v>3</v>
      </c>
      <c r="S328" s="43">
        <f t="shared" si="29"/>
        <v>2.48</v>
      </c>
      <c r="T328" s="43">
        <f t="shared" si="30"/>
        <v>1</v>
      </c>
    </row>
    <row r="329" spans="7:20" ht="30">
      <c r="G329" s="27" cm="1">
        <f t="array" ref="G329">INDEX($D:$D, MATCH(1, (H329 &gt;= $B:$B) * (H329 &lt;= $C:$C), 0))</f>
        <v>7</v>
      </c>
      <c r="H329" s="28">
        <v>45993</v>
      </c>
      <c r="I329" s="29" t="s">
        <v>16</v>
      </c>
      <c r="J329" s="29">
        <v>3</v>
      </c>
      <c r="K329" s="30" t="s">
        <v>230</v>
      </c>
      <c r="M329" s="43" t="str">
        <v>castle</v>
      </c>
      <c r="N329" s="43" t="str">
        <f t="shared" si="27"/>
        <v>*castle*</v>
      </c>
      <c r="O329" s="43" t="str">
        <v>*attempt*</v>
      </c>
      <c r="P329" s="43">
        <f t="shared" si="28"/>
        <v>4</v>
      </c>
      <c r="Q329" s="43" t="str">
        <v>*vision*</v>
      </c>
      <c r="R329" s="43">
        <v>3</v>
      </c>
      <c r="S329" s="43">
        <f t="shared" si="29"/>
        <v>2.48</v>
      </c>
      <c r="T329" s="43">
        <f t="shared" si="30"/>
        <v>1</v>
      </c>
    </row>
    <row r="330" spans="7:20" ht="30">
      <c r="G330" s="27" cm="1">
        <f t="array" ref="G330">INDEX($D:$D, MATCH(1, (H330 &gt;= $B:$B) * (H330 &lt;= $C:$C), 0))</f>
        <v>7</v>
      </c>
      <c r="H330" s="28">
        <v>45993</v>
      </c>
      <c r="I330" s="29" t="s">
        <v>78</v>
      </c>
      <c r="J330" s="29">
        <v>5</v>
      </c>
      <c r="K330" s="30" t="s">
        <v>231</v>
      </c>
      <c r="M330" s="43" t="str">
        <v>outliner</v>
      </c>
      <c r="N330" s="43" t="str">
        <f t="shared" si="27"/>
        <v>*outliner*</v>
      </c>
      <c r="O330" s="43" t="str">
        <v>*standalone*</v>
      </c>
      <c r="P330" s="43">
        <f t="shared" si="28"/>
        <v>1</v>
      </c>
      <c r="Q330" s="43" t="str">
        <v>*engine*</v>
      </c>
      <c r="R330" s="43">
        <v>3</v>
      </c>
      <c r="S330" s="43">
        <f t="shared" si="29"/>
        <v>2.48</v>
      </c>
      <c r="T330" s="43">
        <f t="shared" si="30"/>
        <v>1</v>
      </c>
    </row>
    <row r="331" spans="7:20">
      <c r="G331" s="27" cm="1">
        <f t="array" ref="G331">INDEX($D:$D, MATCH(1, (H331 &gt;= $B:$B) * (H331 &lt;= $C:$C), 0))</f>
        <v>7</v>
      </c>
      <c r="H331" s="28">
        <v>45993</v>
      </c>
      <c r="I331" s="29" t="s">
        <v>78</v>
      </c>
      <c r="J331" s="29">
        <v>3.5</v>
      </c>
      <c r="K331" s="30" t="s">
        <v>232</v>
      </c>
      <c r="M331" s="43" t="str">
        <v>Complete</v>
      </c>
      <c r="N331" s="43" t="str">
        <f t="shared" si="27"/>
        <v>*complete*</v>
      </c>
      <c r="O331" s="43" t="str">
        <v>*not*</v>
      </c>
      <c r="P331" s="43">
        <f t="shared" si="28"/>
        <v>13</v>
      </c>
      <c r="Q331" s="43" t="str">
        <v>*zack*</v>
      </c>
      <c r="R331" s="43">
        <v>3</v>
      </c>
      <c r="S331" s="43">
        <f t="shared" si="29"/>
        <v>2.48</v>
      </c>
      <c r="T331" s="43">
        <f t="shared" si="30"/>
        <v>1</v>
      </c>
    </row>
    <row r="332" spans="7:20" ht="30">
      <c r="G332" s="27" cm="1">
        <f t="array" ref="G332">INDEX($D:$D, MATCH(1, (H332 &gt;= $B:$B) * (H332 &lt;= $C:$C), 0))</f>
        <v>7</v>
      </c>
      <c r="H332" s="28">
        <v>45994</v>
      </c>
      <c r="I332" s="29" t="s">
        <v>78</v>
      </c>
      <c r="J332" s="29">
        <v>2.5</v>
      </c>
      <c r="K332" s="30" t="s">
        <v>233</v>
      </c>
      <c r="M332" s="43" t="str">
        <v>functionality</v>
      </c>
      <c r="N332" s="43" t="str">
        <f t="shared" si="27"/>
        <v>*funcal*</v>
      </c>
      <c r="O332" s="43" t="str">
        <v>*recogniz*</v>
      </c>
      <c r="P332" s="43">
        <f t="shared" si="28"/>
        <v>1</v>
      </c>
      <c r="Q332" s="43" t="str">
        <v>*wall*</v>
      </c>
      <c r="R332" s="43">
        <v>3</v>
      </c>
      <c r="S332" s="43">
        <f t="shared" si="29"/>
        <v>2.48</v>
      </c>
      <c r="T332" s="43">
        <f t="shared" si="30"/>
        <v>1</v>
      </c>
    </row>
    <row r="333" spans="7:20">
      <c r="G333" s="27" cm="1">
        <f t="array" ref="G333">INDEX($D:$D, MATCH(1, (H333 &gt;= $B:$B) * (H333 &lt;= $C:$C), 0))</f>
        <v>7</v>
      </c>
      <c r="H333" s="28">
        <v>45994</v>
      </c>
      <c r="I333" s="29" t="s">
        <v>34</v>
      </c>
      <c r="J333" s="29">
        <v>4</v>
      </c>
      <c r="K333" s="30" t="s">
        <v>234</v>
      </c>
      <c r="M333" s="43" t="str">
        <v>+</v>
      </c>
      <c r="N333" s="43" t="str">
        <f t="shared" si="27"/>
        <v>*+*</v>
      </c>
      <c r="O333" s="43" t="str">
        <v>*behaviors*</v>
      </c>
      <c r="P333" s="43">
        <f t="shared" si="28"/>
        <v>1</v>
      </c>
      <c r="Q333" s="43" t="str">
        <v>*between*</v>
      </c>
      <c r="R333" s="43">
        <v>3</v>
      </c>
      <c r="S333" s="43">
        <f t="shared" si="29"/>
        <v>2.48</v>
      </c>
      <c r="T333" s="43">
        <f t="shared" si="30"/>
        <v>1</v>
      </c>
    </row>
    <row r="334" spans="7:20" ht="30">
      <c r="G334" s="27" cm="1">
        <f t="array" ref="G334">INDEX($D:$D, MATCH(1, (H334 &gt;= $B:$B) * (H334 &lt;= $C:$C), 0))</f>
        <v>7</v>
      </c>
      <c r="H334" s="28">
        <v>45994</v>
      </c>
      <c r="I334" s="29" t="s">
        <v>24</v>
      </c>
      <c r="J334" s="29">
        <v>1.5</v>
      </c>
      <c r="K334" s="30" t="s">
        <v>235</v>
      </c>
      <c r="M334" s="43" t="str">
        <v>More</v>
      </c>
      <c r="N334" s="43" t="str">
        <f t="shared" si="27"/>
        <v>*more*</v>
      </c>
      <c r="O334" s="43" t="str">
        <v>*demo*</v>
      </c>
      <c r="P334" s="43">
        <f t="shared" si="28"/>
        <v>1</v>
      </c>
      <c r="Q334" s="43" t="str">
        <v>*actors*</v>
      </c>
      <c r="R334" s="43">
        <v>3</v>
      </c>
      <c r="S334" s="43">
        <f t="shared" si="29"/>
        <v>2.48</v>
      </c>
      <c r="T334" s="43">
        <f t="shared" si="30"/>
        <v>1</v>
      </c>
    </row>
    <row r="335" spans="7:20" ht="30">
      <c r="G335" s="27" cm="1">
        <f t="array" ref="G335">INDEX($D:$D, MATCH(1, (H335 &gt;= $B:$B) * (H335 &lt;= $C:$C), 0))</f>
        <v>7</v>
      </c>
      <c r="H335" s="28">
        <v>45994</v>
      </c>
      <c r="I335" s="29" t="s">
        <v>26</v>
      </c>
      <c r="J335" s="29">
        <v>1</v>
      </c>
      <c r="K335" s="30" t="s">
        <v>236</v>
      </c>
      <c r="M335" s="43" t="str">
        <v>logic</v>
      </c>
      <c r="N335" s="43" t="str">
        <f t="shared" si="27"/>
        <v>*logic*</v>
      </c>
      <c r="O335" s="43" t="str">
        <v>*attempted*</v>
      </c>
      <c r="P335" s="43">
        <f t="shared" si="28"/>
        <v>1</v>
      </c>
      <c r="Q335" s="43" t="str">
        <v>*bucket*</v>
      </c>
      <c r="R335" s="43">
        <v>3</v>
      </c>
      <c r="S335" s="43">
        <f t="shared" si="29"/>
        <v>2.48</v>
      </c>
      <c r="T335" s="43">
        <f t="shared" si="30"/>
        <v>1</v>
      </c>
    </row>
    <row r="336" spans="7:20" ht="30">
      <c r="G336" s="27" cm="1">
        <f t="array" ref="G336">INDEX($D:$D, MATCH(1, (H336 &gt;= $B:$B) * (H336 &lt;= $C:$C), 0))</f>
        <v>7</v>
      </c>
      <c r="H336" s="28">
        <v>45994</v>
      </c>
      <c r="I336" s="29" t="s">
        <v>78</v>
      </c>
      <c r="J336" s="29">
        <v>2</v>
      </c>
      <c r="K336" s="30" t="s">
        <v>237</v>
      </c>
      <c r="M336" s="43" t="str">
        <v>Common</v>
      </c>
      <c r="N336" s="43" t="str">
        <f t="shared" si="27"/>
        <v>*common*</v>
      </c>
      <c r="O336" s="43" t="str">
        <v>*debugg*</v>
      </c>
      <c r="P336" s="43">
        <f t="shared" si="28"/>
        <v>2</v>
      </c>
      <c r="Q336" s="43" t="str">
        <v>*winds*</v>
      </c>
      <c r="R336" s="43">
        <v>3</v>
      </c>
      <c r="S336" s="43">
        <f t="shared" si="29"/>
        <v>2.48</v>
      </c>
      <c r="T336" s="43">
        <f t="shared" si="30"/>
        <v>1</v>
      </c>
    </row>
    <row r="337" spans="7:20">
      <c r="G337" s="27" cm="1">
        <f t="array" ref="G337">INDEX($D:$D, MATCH(1, (H337 &gt;= $B:$B) * (H337 &lt;= $C:$C), 0))</f>
        <v>7</v>
      </c>
      <c r="H337" s="28">
        <v>45994</v>
      </c>
      <c r="I337" s="29" t="s">
        <v>16</v>
      </c>
      <c r="J337" s="29">
        <v>1</v>
      </c>
      <c r="K337" s="30" t="s">
        <v>77</v>
      </c>
      <c r="M337" s="43" t="str">
        <v>Support,</v>
      </c>
      <c r="N337" s="43" t="str">
        <f t="shared" si="27"/>
        <v>*support*</v>
      </c>
      <c r="O337" s="43" t="str">
        <v>*logan*</v>
      </c>
      <c r="P337" s="43">
        <f t="shared" si="28"/>
        <v>4</v>
      </c>
      <c r="Q337" s="43" t="str">
        <v>*little*</v>
      </c>
      <c r="R337" s="43">
        <v>3</v>
      </c>
      <c r="S337" s="43">
        <f t="shared" si="29"/>
        <v>2.48</v>
      </c>
      <c r="T337" s="43">
        <f t="shared" si="30"/>
        <v>1</v>
      </c>
    </row>
    <row r="338" spans="7:20">
      <c r="G338" s="27" cm="1">
        <f t="array" ref="G338">INDEX($D:$D, MATCH(1, (H338 &gt;= $B:$B) * (H338 &lt;= $C:$C), 0))</f>
        <v>7</v>
      </c>
      <c r="H338" s="28">
        <v>45994</v>
      </c>
      <c r="I338" s="29" t="s">
        <v>78</v>
      </c>
      <c r="J338" s="29">
        <v>1</v>
      </c>
      <c r="K338" s="30" t="s">
        <v>77</v>
      </c>
      <c r="M338" s="43" t="str">
        <v>Async</v>
      </c>
      <c r="N338" s="43" t="str">
        <f t="shared" si="27"/>
        <v>*async*</v>
      </c>
      <c r="O338" s="43" t="str">
        <v>*brand*</v>
      </c>
      <c r="P338" s="43">
        <f t="shared" si="28"/>
        <v>1</v>
      </c>
      <c r="Q338" s="43" t="str">
        <v>*float*</v>
      </c>
      <c r="R338" s="43">
        <v>3</v>
      </c>
      <c r="S338" s="43">
        <f t="shared" si="29"/>
        <v>2.48</v>
      </c>
      <c r="T338" s="43">
        <f t="shared" si="30"/>
        <v>1</v>
      </c>
    </row>
    <row r="339" spans="7:20">
      <c r="G339" s="27" cm="1">
        <f t="array" ref="G339">INDEX($D:$D, MATCH(1, (H339 &gt;= $B:$B) * (H339 &lt;= $C:$C), 0))</f>
        <v>7</v>
      </c>
      <c r="H339" s="28">
        <v>45994</v>
      </c>
      <c r="I339" s="29" t="s">
        <v>26</v>
      </c>
      <c r="J339" s="29">
        <v>1</v>
      </c>
      <c r="K339" s="30" t="s">
        <v>77</v>
      </c>
      <c r="M339" s="43" t="str">
        <v>Loading</v>
      </c>
      <c r="N339" s="43" t="str">
        <f t="shared" si="27"/>
        <v>*load*</v>
      </c>
      <c r="O339" s="43" t="str">
        <v>*colors*</v>
      </c>
      <c r="P339" s="43">
        <f t="shared" si="28"/>
        <v>1</v>
      </c>
      <c r="Q339" s="43" t="str">
        <v>*talk*</v>
      </c>
      <c r="R339" s="43">
        <v>3</v>
      </c>
      <c r="S339" s="43">
        <f t="shared" si="29"/>
        <v>2.48</v>
      </c>
      <c r="T339" s="43">
        <f t="shared" si="30"/>
        <v>1</v>
      </c>
    </row>
    <row r="340" spans="7:20">
      <c r="G340" s="27" cm="1">
        <f t="array" ref="G340">INDEX($D:$D, MATCH(1, (H340 &gt;= $B:$B) * (H340 &lt;= $C:$C), 0))</f>
        <v>7</v>
      </c>
      <c r="H340" s="28">
        <v>45994</v>
      </c>
      <c r="I340" s="29" t="s">
        <v>28</v>
      </c>
      <c r="J340" s="29">
        <v>1</v>
      </c>
      <c r="K340" s="30" t="s">
        <v>77</v>
      </c>
      <c r="M340" s="43" t="str">
        <v>Support</v>
      </c>
      <c r="N340" s="43" t="str">
        <f t="shared" si="27"/>
        <v>*support*</v>
      </c>
      <c r="O340" s="43" t="str">
        <v>*font*</v>
      </c>
      <c r="P340" s="43">
        <f t="shared" si="28"/>
        <v>1</v>
      </c>
      <c r="Q340" s="43" t="str">
        <v>*tour*</v>
      </c>
      <c r="R340" s="43">
        <v>3</v>
      </c>
      <c r="S340" s="43">
        <f t="shared" si="29"/>
        <v>2.48</v>
      </c>
      <c r="T340" s="43">
        <f t="shared" si="30"/>
        <v>1</v>
      </c>
    </row>
    <row r="341" spans="7:20">
      <c r="G341" s="27" cm="1">
        <f t="array" ref="G341">INDEX($D:$D, MATCH(1, (H341 &gt;= $B:$B) * (H341 &lt;= $C:$C), 0))</f>
        <v>7</v>
      </c>
      <c r="H341" s="28">
        <v>45994</v>
      </c>
      <c r="I341" s="29" t="s">
        <v>24</v>
      </c>
      <c r="J341" s="29">
        <v>1</v>
      </c>
      <c r="K341" s="30" t="s">
        <v>77</v>
      </c>
      <c r="M341" s="43" t="str">
        <v>Basic</v>
      </c>
      <c r="N341" s="43" t="str">
        <f t="shared" si="27"/>
        <v>*basic*</v>
      </c>
      <c r="O341" s="43" t="str">
        <v>*leaders*</v>
      </c>
      <c r="P341" s="43">
        <f t="shared" si="28"/>
        <v>1</v>
      </c>
      <c r="Q341" s="43" t="str">
        <v>*implemented*</v>
      </c>
      <c r="R341" s="43">
        <v>3</v>
      </c>
      <c r="S341" s="43">
        <f t="shared" si="29"/>
        <v>2.48</v>
      </c>
      <c r="T341" s="43">
        <f t="shared" si="30"/>
        <v>1</v>
      </c>
    </row>
    <row r="342" spans="7:20">
      <c r="G342" s="27" cm="1">
        <f t="array" ref="G342">INDEX($D:$D, MATCH(1, (H342 &gt;= $B:$B) * (H342 &lt;= $C:$C), 0))</f>
        <v>7</v>
      </c>
      <c r="H342" s="28">
        <v>45994</v>
      </c>
      <c r="I342" s="29" t="s">
        <v>34</v>
      </c>
      <c r="J342" s="29">
        <v>1</v>
      </c>
      <c r="K342" s="30" t="s">
        <v>77</v>
      </c>
      <c r="M342" s="43" t="str">
        <v>Screens</v>
      </c>
      <c r="N342" s="43" t="str">
        <f t="shared" si="27"/>
        <v>*screens*</v>
      </c>
      <c r="O342" s="43" t="str">
        <v>*doors*</v>
      </c>
      <c r="P342" s="43">
        <f t="shared" si="28"/>
        <v>11</v>
      </c>
      <c r="Q342" s="43" t="str">
        <v>*buttons*</v>
      </c>
      <c r="R342" s="43">
        <v>3</v>
      </c>
      <c r="S342" s="43">
        <f t="shared" si="29"/>
        <v>2.48</v>
      </c>
      <c r="T342" s="43">
        <f t="shared" si="30"/>
        <v>1</v>
      </c>
    </row>
    <row r="343" spans="7:20" ht="30">
      <c r="G343" s="27" cm="1">
        <f t="array" ref="G343">INDEX($D:$D, MATCH(1, (H343 &gt;= $B:$B) * (H343 &lt;= $C:$C), 0))</f>
        <v>7</v>
      </c>
      <c r="H343" s="28">
        <v>45996</v>
      </c>
      <c r="I343" s="29" t="s">
        <v>16</v>
      </c>
      <c r="J343" s="29">
        <v>4</v>
      </c>
      <c r="K343" s="30" t="s">
        <v>238</v>
      </c>
      <c r="M343" s="43" t="str">
        <v>Logos</v>
      </c>
      <c r="N343" s="43" t="str">
        <f t="shared" si="27"/>
        <v>*logos*</v>
      </c>
      <c r="O343" s="43" t="str">
        <v>*display*</v>
      </c>
      <c r="P343" s="43">
        <f t="shared" si="28"/>
        <v>2</v>
      </c>
      <c r="Q343" s="43" t="str">
        <v>*bugs*</v>
      </c>
      <c r="R343" s="43">
        <v>3</v>
      </c>
      <c r="S343" s="43">
        <f t="shared" si="29"/>
        <v>2.48</v>
      </c>
      <c r="T343" s="43">
        <f t="shared" si="30"/>
        <v>1</v>
      </c>
    </row>
    <row r="344" spans="7:20">
      <c r="G344" s="27" cm="1">
        <f t="array" ref="G344">INDEX($D:$D, MATCH(1, (H343 &gt;= $B:$B) * (H343 &lt;= $C:$C), 0))</f>
        <v>7</v>
      </c>
      <c r="H344" s="28">
        <v>45997</v>
      </c>
      <c r="I344" s="29" t="s">
        <v>16</v>
      </c>
      <c r="J344" s="29">
        <v>2</v>
      </c>
      <c r="K344" s="30" t="s">
        <v>239</v>
      </c>
      <c r="M344" s="43" t="str">
        <v>Worked</v>
      </c>
      <c r="N344" s="43" t="str">
        <f t="shared" si="27"/>
        <v>*worked*</v>
      </c>
      <c r="O344" s="43" t="str">
        <v>*show*</v>
      </c>
      <c r="P344" s="43">
        <f t="shared" si="28"/>
        <v>2</v>
      </c>
      <c r="Q344" s="43" t="str">
        <v>*sounds*</v>
      </c>
      <c r="R344" s="43">
        <v>3</v>
      </c>
      <c r="S344" s="43">
        <f t="shared" si="29"/>
        <v>2.48</v>
      </c>
      <c r="T344" s="43">
        <f t="shared" si="30"/>
        <v>1</v>
      </c>
    </row>
    <row r="345" spans="7:20">
      <c r="G345" s="27" cm="1">
        <f t="array" ref="G345">INDEX($D:$D, MATCH(1, (H345 &gt;= $B:$B) * (H345 &lt;= $C:$C), 0))</f>
        <v>7</v>
      </c>
      <c r="H345" s="28">
        <v>45999</v>
      </c>
      <c r="I345" s="29" t="s">
        <v>16</v>
      </c>
      <c r="J345" s="29">
        <v>7</v>
      </c>
      <c r="K345" s="30" t="s">
        <v>239</v>
      </c>
      <c r="M345" s="43" t="str">
        <v>trail</v>
      </c>
      <c r="N345" s="43" t="str">
        <f t="shared" si="27"/>
        <v>*trail*</v>
      </c>
      <c r="O345" s="43" t="str">
        <v>*sequence*</v>
      </c>
      <c r="P345" s="43">
        <f t="shared" si="28"/>
        <v>5</v>
      </c>
      <c r="Q345" s="43" t="str">
        <v>*crystals*</v>
      </c>
      <c r="R345" s="43">
        <v>3</v>
      </c>
      <c r="S345" s="43">
        <f t="shared" si="29"/>
        <v>2.48</v>
      </c>
      <c r="T345" s="43">
        <f t="shared" si="30"/>
        <v>1</v>
      </c>
    </row>
    <row r="346" spans="7:20">
      <c r="G346" s="27" cm="1">
        <f t="array" ref="G346">INDEX($D:$D, MATCH(1, (H346 &gt;= $B:$B) * (H346 &lt;= $C:$C), 0))</f>
        <v>7</v>
      </c>
      <c r="H346" s="28">
        <v>45999</v>
      </c>
      <c r="I346" s="29" t="s">
        <v>28</v>
      </c>
      <c r="J346" s="29">
        <v>3.5</v>
      </c>
      <c r="K346" s="30" t="s">
        <v>239</v>
      </c>
      <c r="M346" s="43" t="str">
        <v>behind</v>
      </c>
      <c r="N346" s="43" t="str">
        <f t="shared" si="27"/>
        <v>*behind*</v>
      </c>
      <c r="O346" s="43" t="str">
        <v>*an*</v>
      </c>
      <c r="P346" s="43">
        <f t="shared" si="28"/>
        <v>299</v>
      </c>
      <c r="Q346" s="43" t="str">
        <v>*custom*</v>
      </c>
      <c r="R346" s="43">
        <v>3</v>
      </c>
      <c r="S346" s="43">
        <f t="shared" si="29"/>
        <v>2.48</v>
      </c>
      <c r="T346" s="43">
        <f t="shared" si="30"/>
        <v>1</v>
      </c>
    </row>
    <row r="347" spans="7:20">
      <c r="G347" s="27" cm="1">
        <f t="array" ref="G347">INDEX($D:$D, MATCH(1, (H347 &gt;= $B:$B) * (H347 &lt;= $C:$C), 0))</f>
        <v>7</v>
      </c>
      <c r="H347" s="28">
        <v>45999</v>
      </c>
      <c r="I347" s="29" t="s">
        <v>26</v>
      </c>
      <c r="J347" s="29">
        <v>3</v>
      </c>
      <c r="K347" s="30" t="s">
        <v>239</v>
      </c>
      <c r="M347" s="43" t="str">
        <v>user</v>
      </c>
      <c r="N347" s="43" t="str">
        <f t="shared" si="27"/>
        <v>*user*</v>
      </c>
      <c r="O347" s="43" t="str">
        <v>*error*</v>
      </c>
      <c r="P347" s="43">
        <f t="shared" si="28"/>
        <v>7</v>
      </c>
      <c r="Q347" s="43" t="str">
        <v>*feature*</v>
      </c>
      <c r="R347" s="43">
        <v>3</v>
      </c>
      <c r="S347" s="43">
        <f t="shared" si="29"/>
        <v>2.48</v>
      </c>
      <c r="T347" s="43">
        <f t="shared" si="30"/>
        <v>1</v>
      </c>
    </row>
    <row r="348" spans="7:20">
      <c r="G348" s="27" cm="1">
        <f t="array" ref="G348">INDEX($D:$D, MATCH(1, (H348 &gt;= $B:$B) * (H348 &lt;= $C:$C), 0))</f>
        <v>7</v>
      </c>
      <c r="H348" s="28">
        <v>46000</v>
      </c>
      <c r="I348" s="29" t="s">
        <v>16</v>
      </c>
      <c r="J348" s="29">
        <v>3</v>
      </c>
      <c r="K348" s="30" t="s">
        <v>239</v>
      </c>
      <c r="M348" s="43" t="str">
        <v>Move</v>
      </c>
      <c r="N348" s="43" t="str">
        <f t="shared" si="27"/>
        <v>*move*</v>
      </c>
      <c r="O348" s="43" t="str">
        <v>*i*</v>
      </c>
      <c r="P348" s="43">
        <f t="shared" si="28"/>
        <v>647</v>
      </c>
      <c r="Q348" s="43" t="str">
        <v>*build*</v>
      </c>
      <c r="R348" s="43">
        <v>3</v>
      </c>
      <c r="S348" s="43">
        <f t="shared" si="29"/>
        <v>2.48</v>
      </c>
      <c r="T348" s="43">
        <f t="shared" si="30"/>
        <v>1</v>
      </c>
    </row>
    <row r="349" spans="7:20">
      <c r="G349" s="27" cm="1">
        <f t="array" ref="G349">INDEX($D:$D, MATCH(1, (H349 &gt;= $B:$B) * (H349 &lt;= $C:$C), 0))</f>
        <v>7</v>
      </c>
      <c r="H349" s="28">
        <v>46000</v>
      </c>
      <c r="I349" s="29" t="s">
        <v>24</v>
      </c>
      <c r="J349" s="29">
        <v>3</v>
      </c>
      <c r="K349" s="30" t="s">
        <v>239</v>
      </c>
      <c r="M349" s="43" t="str">
        <v>generated</v>
      </c>
      <c r="N349" s="43" t="str">
        <f t="shared" si="27"/>
        <v>*gener*</v>
      </c>
      <c r="O349" s="43" t="str">
        <v>*cre*</v>
      </c>
      <c r="P349" s="43">
        <f t="shared" si="28"/>
        <v>35</v>
      </c>
      <c r="Q349" s="43" t="str">
        <v>*complete*</v>
      </c>
      <c r="R349" s="43">
        <v>3</v>
      </c>
      <c r="S349" s="43">
        <f t="shared" si="29"/>
        <v>2.48</v>
      </c>
      <c r="T349" s="43">
        <f t="shared" si="30"/>
        <v>1</v>
      </c>
    </row>
    <row r="350" spans="7:20">
      <c r="G350" s="27" cm="1">
        <f t="array" ref="G350">INDEX($D:$D, MATCH(1, (H350 &gt;= $B:$B) * (H350 &lt;= $C:$C), 0))</f>
        <v>7</v>
      </c>
      <c r="H350" s="28">
        <v>46000</v>
      </c>
      <c r="I350" s="29" t="s">
        <v>28</v>
      </c>
      <c r="J350" s="29">
        <v>2</v>
      </c>
      <c r="K350" s="30" t="s">
        <v>239</v>
      </c>
      <c r="M350" s="43" t="str">
        <v>files</v>
      </c>
      <c r="N350" s="43" t="str">
        <f t="shared" si="27"/>
        <v>*files*</v>
      </c>
      <c r="O350" s="43" t="str">
        <v>*door*</v>
      </c>
      <c r="P350" s="43">
        <f t="shared" si="28"/>
        <v>15</v>
      </c>
      <c r="Q350" s="43" t="str">
        <v>*support*</v>
      </c>
      <c r="R350" s="43">
        <v>3</v>
      </c>
      <c r="S350" s="43">
        <f t="shared" si="29"/>
        <v>2.48</v>
      </c>
      <c r="T350" s="43">
        <f t="shared" si="30"/>
        <v>1</v>
      </c>
    </row>
    <row r="351" spans="7:20">
      <c r="G351" s="27" cm="1">
        <f t="array" ref="G351">INDEX($D:$D, MATCH(1, (H351 &gt;= $B:$B) * (H351 &lt;= $C:$C), 0))</f>
        <v>7</v>
      </c>
      <c r="H351" s="28">
        <v>46000</v>
      </c>
      <c r="I351" s="29" t="s">
        <v>78</v>
      </c>
      <c r="J351" s="29">
        <v>2</v>
      </c>
      <c r="K351" s="30" t="s">
        <v>239</v>
      </c>
      <c r="M351" s="43" t="str">
        <v>modeing</v>
      </c>
      <c r="N351" s="43" t="str">
        <f t="shared" si="27"/>
        <v>*mode*</v>
      </c>
      <c r="O351" s="43" t="str">
        <v>*c++*</v>
      </c>
      <c r="P351" s="43">
        <f t="shared" si="28"/>
        <v>2</v>
      </c>
      <c r="Q351" s="43" t="str">
        <v>*basic*</v>
      </c>
      <c r="R351" s="43">
        <v>3</v>
      </c>
      <c r="S351" s="43">
        <f t="shared" si="29"/>
        <v>2.48</v>
      </c>
      <c r="T351" s="43">
        <f t="shared" si="30"/>
        <v>1</v>
      </c>
    </row>
    <row r="352" spans="7:20">
      <c r="G352" s="27" cm="1">
        <f t="array" ref="G352">INDEX($D:$D, MATCH(1, (H352 &gt;= $B:$B) * (H352 &lt;= $C:$C), 0))</f>
        <v>7</v>
      </c>
      <c r="H352" s="28">
        <v>46001</v>
      </c>
      <c r="I352" s="29" t="s">
        <v>34</v>
      </c>
      <c r="J352" s="29">
        <v>4</v>
      </c>
      <c r="K352" s="30" t="s">
        <v>240</v>
      </c>
      <c r="M352" s="43" t="str">
        <v>tool,</v>
      </c>
      <c r="N352" s="43" t="str">
        <f t="shared" si="27"/>
        <v>*tool*</v>
      </c>
      <c r="O352" s="43" t="str">
        <v>*class*</v>
      </c>
      <c r="P352" s="43">
        <f t="shared" si="28"/>
        <v>2</v>
      </c>
      <c r="Q352" s="43" t="str">
        <v>*logos*</v>
      </c>
      <c r="R352" s="43">
        <v>3</v>
      </c>
      <c r="S352" s="43">
        <f t="shared" si="29"/>
        <v>2.48</v>
      </c>
      <c r="T352" s="43">
        <f t="shared" si="30"/>
        <v>1</v>
      </c>
    </row>
    <row r="353" spans="7:20">
      <c r="G353" s="27" cm="1">
        <f t="array" ref="G353">INDEX($D:$D, MATCH(1, (H353 &gt;= $B:$B) * (H353 &lt;= $C:$C), 0))</f>
        <v>7</v>
      </c>
      <c r="H353" s="28">
        <v>46001</v>
      </c>
      <c r="I353" s="29" t="s">
        <v>24</v>
      </c>
      <c r="J353" s="29">
        <v>3</v>
      </c>
      <c r="K353" s="30" t="s">
        <v>241</v>
      </c>
      <c r="M353" s="43" t="str">
        <v>collisions</v>
      </c>
      <c r="N353" s="43" t="str">
        <f t="shared" si="27"/>
        <v>*collisions*</v>
      </c>
      <c r="O353" s="43" t="str">
        <v>*change*</v>
      </c>
      <c r="P353" s="43">
        <f t="shared" si="28"/>
        <v>11</v>
      </c>
      <c r="Q353" s="43" t="str">
        <v>*app*</v>
      </c>
      <c r="R353" s="43">
        <v>3</v>
      </c>
      <c r="S353" s="43">
        <f t="shared" si="29"/>
        <v>2.48</v>
      </c>
      <c r="T353" s="43">
        <f t="shared" si="30"/>
        <v>1</v>
      </c>
    </row>
    <row r="354" spans="7:20">
      <c r="G354" s="27" cm="1">
        <f t="array" ref="G354">INDEX($D:$D, MATCH(1, (H354 &gt;= $B:$B) * (H354 &lt;= $C:$C), 0))</f>
        <v>7</v>
      </c>
      <c r="H354" s="28">
        <v>46001</v>
      </c>
      <c r="I354" s="29" t="s">
        <v>26</v>
      </c>
      <c r="J354" s="29">
        <v>0.5</v>
      </c>
      <c r="K354" s="58" t="s">
        <v>242</v>
      </c>
      <c r="M354" s="43" t="str">
        <v>Moved</v>
      </c>
      <c r="N354" s="43" t="str">
        <f t="shared" si="27"/>
        <v>*moved*</v>
      </c>
      <c r="O354" s="43" t="str">
        <v>*textures*</v>
      </c>
      <c r="P354" s="43">
        <f t="shared" si="28"/>
        <v>1</v>
      </c>
      <c r="Q354" s="43" t="str">
        <v>*cycle*</v>
      </c>
      <c r="R354" s="43">
        <v>3</v>
      </c>
      <c r="S354" s="43">
        <f t="shared" si="29"/>
        <v>2.48</v>
      </c>
      <c r="T354" s="43">
        <f t="shared" si="30"/>
        <v>1</v>
      </c>
    </row>
    <row r="355" spans="7:20">
      <c r="G355" s="27" cm="1">
        <f t="array" ref="G355">INDEX($D:$D, MATCH(1, (H355 &gt;= $B:$B) * (H355 &lt;= $C:$C), 0))</f>
        <v>7</v>
      </c>
      <c r="H355" s="28">
        <v>46001</v>
      </c>
      <c r="I355" s="29" t="s">
        <v>16</v>
      </c>
      <c r="J355" s="29">
        <v>4</v>
      </c>
      <c r="K355" s="30" t="s">
        <v>243</v>
      </c>
      <c r="M355" s="43" t="str">
        <v>enhanced</v>
      </c>
      <c r="N355" s="43" t="str">
        <f t="shared" si="27"/>
        <v>*enhanced*</v>
      </c>
      <c r="O355" s="43" t="str">
        <v>*redo*</v>
      </c>
      <c r="P355" s="43">
        <f t="shared" si="28"/>
        <v>4</v>
      </c>
      <c r="Q355" s="43" t="str">
        <v>*too*</v>
      </c>
      <c r="R355" s="43">
        <v>3</v>
      </c>
      <c r="S355" s="43">
        <f t="shared" si="29"/>
        <v>2.48</v>
      </c>
      <c r="T355" s="43">
        <f t="shared" si="30"/>
        <v>1</v>
      </c>
    </row>
    <row r="356" spans="7:20">
      <c r="G356" s="27" cm="1">
        <f t="array" ref="G356">INDEX($D:$D, MATCH(1, (H356 &gt;= $B:$B) * (H356 &lt;= $C:$C), 0))</f>
        <v>7</v>
      </c>
      <c r="H356" s="28">
        <v>46001</v>
      </c>
      <c r="I356" s="29" t="s">
        <v>78</v>
      </c>
      <c r="J356" s="29">
        <v>3</v>
      </c>
      <c r="K356" s="30" t="s">
        <v>244</v>
      </c>
      <c r="M356" s="43" t="str">
        <v>features</v>
      </c>
      <c r="N356" s="43" t="str">
        <f t="shared" si="27"/>
        <v>*features*</v>
      </c>
      <c r="O356" s="43" t="str">
        <v>*fences*</v>
      </c>
      <c r="P356" s="43">
        <f t="shared" si="28"/>
        <v>1</v>
      </c>
      <c r="Q356" s="43" t="str">
        <v>*reset*</v>
      </c>
      <c r="R356" s="43">
        <v>3</v>
      </c>
      <c r="S356" s="43">
        <f t="shared" si="29"/>
        <v>2.48</v>
      </c>
      <c r="T356" s="43">
        <f t="shared" si="30"/>
        <v>1</v>
      </c>
    </row>
    <row r="357" spans="7:20">
      <c r="G357" s="27" cm="1">
        <f t="array" ref="G357">INDEX($D:$D, MATCH(1, (H357 &gt;= $B:$B) * (H357 &lt;= $C:$C), 0))</f>
        <v>7</v>
      </c>
      <c r="H357" s="28">
        <v>46001</v>
      </c>
      <c r="I357" s="29" t="s">
        <v>26</v>
      </c>
      <c r="J357" s="29">
        <v>3</v>
      </c>
      <c r="K357" s="30" t="s">
        <v>244</v>
      </c>
      <c r="M357" s="43" t="str">
        <v>Music</v>
      </c>
      <c r="N357" s="43" t="str">
        <f t="shared" si="27"/>
        <v>*music*</v>
      </c>
      <c r="O357" s="43" t="str">
        <v>*lanters*</v>
      </c>
      <c r="P357" s="43">
        <f t="shared" si="28"/>
        <v>1</v>
      </c>
      <c r="Q357" s="43" t="str">
        <v>*boat*</v>
      </c>
      <c r="R357" s="43">
        <v>3</v>
      </c>
      <c r="S357" s="43">
        <f t="shared" si="29"/>
        <v>2.48</v>
      </c>
      <c r="T357" s="43">
        <f t="shared" si="30"/>
        <v>1</v>
      </c>
    </row>
    <row r="358" spans="7:20">
      <c r="G358" s="27" cm="1">
        <f t="array" ref="G358">INDEX($D:$D, MATCH(1, (H358 &gt;= $B:$B) * (H358 &lt;= $C:$C), 0))</f>
        <v>7</v>
      </c>
      <c r="H358" s="28">
        <v>46001</v>
      </c>
      <c r="I358" s="29" t="s">
        <v>28</v>
      </c>
      <c r="J358" s="29">
        <v>3</v>
      </c>
      <c r="K358" s="30" t="s">
        <v>244</v>
      </c>
      <c r="M358" s="43" t="str">
        <v>Cleanup,</v>
      </c>
      <c r="N358" s="43" t="str">
        <f t="shared" si="27"/>
        <v>*cleanup*</v>
      </c>
      <c r="O358" s="43" t="str">
        <v>*emmission*</v>
      </c>
      <c r="P358" s="43">
        <f t="shared" si="28"/>
        <v>1</v>
      </c>
      <c r="Q358" s="43" t="str">
        <v>*open*</v>
      </c>
      <c r="R358" s="43">
        <v>3</v>
      </c>
      <c r="S358" s="43">
        <f t="shared" si="29"/>
        <v>2.48</v>
      </c>
      <c r="T358" s="43">
        <f t="shared" si="30"/>
        <v>1</v>
      </c>
    </row>
    <row r="359" spans="7:20">
      <c r="G359" s="27" cm="1">
        <f t="array" ref="G359">INDEX($D:$D, MATCH(1, (H359 &gt;= $B:$B) * (H359 &lt;= $C:$C), 0))</f>
        <v>7</v>
      </c>
      <c r="H359" s="28">
        <v>46001</v>
      </c>
      <c r="I359" s="29" t="s">
        <v>34</v>
      </c>
      <c r="J359" s="29">
        <v>3</v>
      </c>
      <c r="K359" s="30" t="s">
        <v>244</v>
      </c>
      <c r="M359" s="43" t="str">
        <v>Attempt</v>
      </c>
      <c r="N359" s="43" t="str">
        <f t="shared" si="27"/>
        <v>*attempt*</v>
      </c>
      <c r="O359" s="43" t="str">
        <v>*qualities*</v>
      </c>
      <c r="P359" s="43">
        <f t="shared" si="28"/>
        <v>1</v>
      </c>
      <c r="Q359" s="43" t="str">
        <v>*late*</v>
      </c>
      <c r="R359" s="43">
        <v>3</v>
      </c>
      <c r="S359" s="43">
        <f t="shared" si="29"/>
        <v>2.48</v>
      </c>
      <c r="T359" s="43">
        <f t="shared" si="30"/>
        <v>1</v>
      </c>
    </row>
    <row r="360" spans="7:20">
      <c r="G360" s="27" cm="1">
        <f t="array" ref="G360">INDEX($D:$D, MATCH(1, (H360 &gt;= $B:$B) * (H360 &lt;= $C:$C), 0))</f>
        <v>7</v>
      </c>
      <c r="H360" s="28">
        <v>46002</v>
      </c>
      <c r="I360" s="29" t="s">
        <v>16</v>
      </c>
      <c r="J360" s="29">
        <v>2</v>
      </c>
      <c r="K360" s="30" t="s">
        <v>239</v>
      </c>
      <c r="M360" s="43" t="str">
        <v>Standalone</v>
      </c>
      <c r="N360" s="43" t="str">
        <f t="shared" si="27"/>
        <v>*standalone*</v>
      </c>
      <c r="O360" s="43" t="str">
        <v>*model*</v>
      </c>
      <c r="P360" s="43">
        <f t="shared" si="28"/>
        <v>10</v>
      </c>
      <c r="Q360" s="43" t="str">
        <v>*reorganiz*</v>
      </c>
      <c r="R360" s="43">
        <v>3</v>
      </c>
      <c r="S360" s="43">
        <f t="shared" si="29"/>
        <v>2.48</v>
      </c>
      <c r="T360" s="43">
        <f t="shared" si="30"/>
        <v>1</v>
      </c>
    </row>
    <row r="361" spans="7:20">
      <c r="G361" s="27" cm="1">
        <f t="array" ref="G361">INDEX($D:$D, MATCH(1, (H361 &gt;= $B:$B) * (H361 &lt;= $C:$C), 0))</f>
        <v>7</v>
      </c>
      <c r="H361" s="28">
        <v>46002</v>
      </c>
      <c r="I361" s="29" t="s">
        <v>28</v>
      </c>
      <c r="J361" s="29">
        <v>3</v>
      </c>
      <c r="K361" s="30" t="s">
        <v>244</v>
      </c>
      <c r="M361" s="43" t="str">
        <v>not</v>
      </c>
      <c r="N361" s="43" t="str">
        <f t="shared" si="27"/>
        <v>*not*</v>
      </c>
      <c r="O361" s="43" t="str">
        <v>*landscap*</v>
      </c>
      <c r="P361" s="43">
        <f t="shared" si="28"/>
        <v>6</v>
      </c>
      <c r="Q361" s="43" t="str">
        <v>*controller*</v>
      </c>
      <c r="R361" s="43">
        <v>3</v>
      </c>
      <c r="S361" s="43">
        <f t="shared" si="29"/>
        <v>2.48</v>
      </c>
      <c r="T361" s="43">
        <f t="shared" si="30"/>
        <v>1</v>
      </c>
    </row>
    <row r="362" spans="7:20">
      <c r="G362" s="27" cm="1">
        <f t="array" ref="G362">INDEX($D:$D, MATCH(1, (H362 &gt;= $B:$B) * (H362 &lt;= $C:$C), 0))</f>
        <v>7</v>
      </c>
      <c r="H362" s="28">
        <v>46002</v>
      </c>
      <c r="I362" s="29" t="s">
        <v>26</v>
      </c>
      <c r="J362" s="29">
        <v>3</v>
      </c>
      <c r="K362" s="30" t="s">
        <v>244</v>
      </c>
      <c r="M362" s="43" t="str">
        <v>recognizing</v>
      </c>
      <c r="N362" s="43" t="str">
        <f t="shared" si="27"/>
        <v>*recogniz*</v>
      </c>
      <c r="O362" s="43" t="str">
        <v>*twice*</v>
      </c>
      <c r="P362" s="43">
        <f t="shared" si="28"/>
        <v>1</v>
      </c>
      <c r="Q362" s="43" t="str">
        <v>*troubleshoot*</v>
      </c>
      <c r="R362" s="43">
        <v>3</v>
      </c>
      <c r="S362" s="43">
        <f t="shared" si="29"/>
        <v>2.48</v>
      </c>
      <c r="T362" s="43">
        <f t="shared" si="30"/>
        <v>1</v>
      </c>
    </row>
    <row r="363" spans="7:20">
      <c r="G363" s="27" cm="1">
        <f t="array" ref="G363">INDEX($D:$D, MATCH(1, (H363 &gt;= $B:$B) * (H363 &lt;= $C:$C), 0))</f>
        <v>7</v>
      </c>
      <c r="H363" s="28">
        <v>46002</v>
      </c>
      <c r="I363" s="29" t="s">
        <v>24</v>
      </c>
      <c r="J363" s="29">
        <v>3</v>
      </c>
      <c r="K363" s="30" t="s">
        <v>244</v>
      </c>
      <c r="M363" s="43" t="str">
        <v>behaviors</v>
      </c>
      <c r="N363" s="43" t="str">
        <f t="shared" si="27"/>
        <v>*behaviors*</v>
      </c>
      <c r="O363" s="43" t="str">
        <v>*because*</v>
      </c>
      <c r="P363" s="43">
        <f t="shared" si="28"/>
        <v>1</v>
      </c>
      <c r="Q363" s="43" t="str">
        <v>*code*</v>
      </c>
      <c r="R363" s="43">
        <v>3</v>
      </c>
      <c r="S363" s="43">
        <f t="shared" si="29"/>
        <v>2.48</v>
      </c>
      <c r="T363" s="43">
        <f t="shared" si="30"/>
        <v>1</v>
      </c>
    </row>
    <row r="364" spans="7:20">
      <c r="G364" s="27" cm="1">
        <f t="array" ref="G364">INDEX($D:$D, MATCH(1, (H364 &gt;= $B:$B) * (H364 &lt;= $C:$C), 0))</f>
        <v>7</v>
      </c>
      <c r="H364" s="28">
        <v>46002</v>
      </c>
      <c r="I364" s="29" t="s">
        <v>16</v>
      </c>
      <c r="J364" s="29">
        <v>3</v>
      </c>
      <c r="K364" s="30" t="s">
        <v>244</v>
      </c>
      <c r="M364" s="43" t="str">
        <v>demo</v>
      </c>
      <c r="N364" s="43" t="str">
        <f t="shared" si="27"/>
        <v>*demo*</v>
      </c>
      <c r="O364" s="43" t="str">
        <v>*ue*</v>
      </c>
      <c r="P364" s="43">
        <f t="shared" si="28"/>
        <v>27</v>
      </c>
      <c r="Q364" s="43" t="str">
        <v>*posi*</v>
      </c>
      <c r="R364" s="43">
        <v>3</v>
      </c>
      <c r="S364" s="43">
        <f t="shared" si="29"/>
        <v>2.48</v>
      </c>
      <c r="T364" s="43">
        <f t="shared" si="30"/>
        <v>1</v>
      </c>
    </row>
    <row r="365" spans="7:20">
      <c r="G365" s="27" cm="1">
        <f t="array" ref="G365">INDEX($D:$D, MATCH(1, (H365 &gt;= $B:$B) * (H365 &lt;= $C:$C), 0))</f>
        <v>7</v>
      </c>
      <c r="H365" s="28">
        <v>46002</v>
      </c>
      <c r="I365" s="29" t="s">
        <v>78</v>
      </c>
      <c r="J365" s="29">
        <v>3</v>
      </c>
      <c r="K365" s="30" t="s">
        <v>244</v>
      </c>
      <c r="M365" s="43" t="str">
        <v>Attempted</v>
      </c>
      <c r="N365" s="43" t="str">
        <f t="shared" si="27"/>
        <v>*attempted*</v>
      </c>
      <c r="O365" s="43" t="str">
        <v>*wouldnt*</v>
      </c>
      <c r="P365" s="43">
        <f t="shared" si="28"/>
        <v>0</v>
      </c>
      <c r="Q365" s="43" t="str">
        <v>*when*</v>
      </c>
      <c r="R365" s="43">
        <v>3</v>
      </c>
      <c r="S365" s="43">
        <f t="shared" si="29"/>
        <v>2.48</v>
      </c>
      <c r="T365" s="43">
        <f t="shared" si="30"/>
        <v>1</v>
      </c>
    </row>
    <row r="366" spans="7:20">
      <c r="G366" s="27" cm="1">
        <f t="array" ref="G366">INDEX($D:$D, MATCH(1, (H366 &gt;= $B:$B) * (H366 &lt;= $C:$C), 0))</f>
        <v>7</v>
      </c>
      <c r="H366" s="28">
        <v>46002</v>
      </c>
      <c r="I366" s="29" t="s">
        <v>34</v>
      </c>
      <c r="J366" s="29">
        <v>4</v>
      </c>
      <c r="K366" s="30" t="s">
        <v>244</v>
      </c>
      <c r="M366" s="43" t="str">
        <v>debugging</v>
      </c>
      <c r="N366" s="43" t="str">
        <f t="shared" si="27"/>
        <v>*debugg*</v>
      </c>
      <c r="O366" s="43" t="str">
        <v>*stop*</v>
      </c>
      <c r="P366" s="43">
        <f t="shared" si="28"/>
        <v>1</v>
      </c>
      <c r="Q366" s="43" t="str">
        <v>*challenges*</v>
      </c>
      <c r="R366" s="43">
        <v>3</v>
      </c>
      <c r="S366" s="43">
        <f t="shared" si="29"/>
        <v>2.48</v>
      </c>
      <c r="T366" s="43">
        <f t="shared" si="30"/>
        <v>1</v>
      </c>
    </row>
    <row r="367" spans="7:20" ht="30">
      <c r="G367" s="27" cm="1">
        <f t="array" ref="G367">INDEX($D:$D, MATCH(1, (H367 &gt;= $B:$B) * (H367 &lt;= $C:$C), 0))</f>
        <v>7</v>
      </c>
      <c r="H367" s="28">
        <v>46002</v>
      </c>
      <c r="I367" s="29" t="s">
        <v>24</v>
      </c>
      <c r="J367" s="29">
        <v>2</v>
      </c>
      <c r="K367" s="30" t="s">
        <v>245</v>
      </c>
      <c r="M367" s="43" t="str">
        <v>Logan</v>
      </c>
      <c r="N367" s="43" t="str">
        <f t="shared" si="27"/>
        <v>*logan*</v>
      </c>
      <c r="O367" s="43" t="str">
        <v>*giv*</v>
      </c>
      <c r="P367" s="43">
        <f t="shared" si="28"/>
        <v>1</v>
      </c>
      <c r="Q367" s="43" t="str">
        <v>*fall*</v>
      </c>
      <c r="R367" s="43">
        <v>3</v>
      </c>
      <c r="S367" s="43">
        <f t="shared" si="29"/>
        <v>2.48</v>
      </c>
      <c r="T367" s="43">
        <f t="shared" si="30"/>
        <v>1</v>
      </c>
    </row>
    <row r="368" spans="7:20">
      <c r="G368" s="27" cm="1">
        <f t="array" ref="G368">INDEX($D:$D, MATCH(1, (H368 &gt;= $B:$B) * (H368 &lt;= $C:$C), 0))</f>
        <v>7</v>
      </c>
      <c r="H368" s="28">
        <v>46003</v>
      </c>
      <c r="I368" s="29" t="s">
        <v>28</v>
      </c>
      <c r="J368" s="29">
        <v>5.5</v>
      </c>
      <c r="K368" s="30" t="s">
        <v>246</v>
      </c>
      <c r="M368" s="43" t="str">
        <v>logos,</v>
      </c>
      <c r="N368" s="43" t="str">
        <f t="shared" si="27"/>
        <v>*logos*</v>
      </c>
      <c r="O368" s="43" t="str">
        <v>*me*</v>
      </c>
      <c r="P368" s="43">
        <f t="shared" si="28"/>
        <v>221</v>
      </c>
      <c r="Q368" s="43" t="str">
        <v>*5*</v>
      </c>
      <c r="R368" s="43">
        <v>3</v>
      </c>
      <c r="S368" s="43">
        <f t="shared" si="29"/>
        <v>2.48</v>
      </c>
      <c r="T368" s="43">
        <f t="shared" si="30"/>
        <v>1</v>
      </c>
    </row>
    <row r="369" spans="7:20">
      <c r="G369" s="27" cm="1">
        <f t="array" ref="G369">INDEX($D:$D, MATCH(1, (H369 &gt;= $B:$B) * (H369 &lt;= $C:$C), 0))</f>
        <v>7</v>
      </c>
      <c r="H369" s="28">
        <v>46003</v>
      </c>
      <c r="I369" s="29" t="s">
        <v>26</v>
      </c>
      <c r="J369" s="29">
        <v>5.5</v>
      </c>
      <c r="K369" s="59" t="s">
        <v>246</v>
      </c>
      <c r="M369" s="43" t="str">
        <v>brand</v>
      </c>
      <c r="N369" s="43" t="str">
        <f t="shared" si="27"/>
        <v>*brand*</v>
      </c>
      <c r="O369" s="43" t="str">
        <v>*page*</v>
      </c>
      <c r="P369" s="43">
        <f t="shared" si="28"/>
        <v>1</v>
      </c>
      <c r="Q369" s="43" t="str">
        <v>*teleport*</v>
      </c>
      <c r="R369" s="43">
        <v>3</v>
      </c>
      <c r="S369" s="43">
        <f t="shared" si="29"/>
        <v>2.48</v>
      </c>
      <c r="T369" s="43">
        <f t="shared" si="30"/>
        <v>1</v>
      </c>
    </row>
    <row r="370" spans="7:20">
      <c r="G370" s="27" cm="1">
        <f t="array" ref="G370">INDEX($D:$D, MATCH(1, (H370 &gt;= $B:$B) * (H370 &lt;= $C:$C), 0))</f>
        <v>7</v>
      </c>
      <c r="H370" s="28">
        <v>46003</v>
      </c>
      <c r="I370" s="29" t="s">
        <v>24</v>
      </c>
      <c r="J370" s="29">
        <v>5.5</v>
      </c>
      <c r="K370" s="30" t="s">
        <v>246</v>
      </c>
      <c r="M370" s="43" t="str">
        <v>colors,</v>
      </c>
      <c r="N370" s="43" t="str">
        <f t="shared" si="27"/>
        <v>*colors*</v>
      </c>
      <c r="O370" s="43" t="str">
        <v>*glow*</v>
      </c>
      <c r="P370" s="43">
        <f t="shared" si="28"/>
        <v>2</v>
      </c>
      <c r="Q370" s="43" t="str">
        <v>*light*</v>
      </c>
      <c r="R370" s="43">
        <v>3</v>
      </c>
      <c r="S370" s="43">
        <f t="shared" si="29"/>
        <v>2.48</v>
      </c>
      <c r="T370" s="43">
        <f t="shared" si="30"/>
        <v>1</v>
      </c>
    </row>
    <row r="371" spans="7:20">
      <c r="G371" s="27" cm="1">
        <f t="array" ref="G371">INDEX($D:$D, MATCH(1, (H371 &gt;= $B:$B) * (H371 &lt;= $C:$C), 0))</f>
        <v>7</v>
      </c>
      <c r="H371" s="28">
        <v>46003</v>
      </c>
      <c r="I371" s="29" t="s">
        <v>16</v>
      </c>
      <c r="J371" s="29">
        <v>5.5</v>
      </c>
      <c r="K371" s="59" t="s">
        <v>246</v>
      </c>
      <c r="M371" s="43" t="str">
        <v>font</v>
      </c>
      <c r="N371" s="43" t="str">
        <f t="shared" si="27"/>
        <v>*font*</v>
      </c>
      <c r="O371" s="43" t="str">
        <v>*footsteps*</v>
      </c>
      <c r="P371" s="43">
        <f t="shared" si="28"/>
        <v>2</v>
      </c>
      <c r="Q371" s="43" t="str">
        <v>*2*</v>
      </c>
      <c r="R371" s="43">
        <v>3</v>
      </c>
      <c r="S371" s="43">
        <f t="shared" si="29"/>
        <v>2.48</v>
      </c>
      <c r="T371" s="43">
        <f t="shared" si="30"/>
        <v>1</v>
      </c>
    </row>
    <row r="372" spans="7:20">
      <c r="G372" s="27" cm="1">
        <f t="array" ref="G372">INDEX($D:$D, MATCH(1, (H372 &gt;= $B:$B) * (H372 &lt;= $C:$C), 0))</f>
        <v>7</v>
      </c>
      <c r="H372" s="28">
        <v>46003</v>
      </c>
      <c r="I372" s="29" t="s">
        <v>78</v>
      </c>
      <c r="J372" s="29">
        <v>5.5</v>
      </c>
      <c r="K372" s="30" t="s">
        <v>246</v>
      </c>
      <c r="M372" s="43" t="str">
        <v>leaders</v>
      </c>
      <c r="N372" s="43" t="str">
        <f t="shared" si="27"/>
        <v>*leaders*</v>
      </c>
      <c r="O372" s="43" t="str">
        <v>*that*</v>
      </c>
      <c r="P372" s="43">
        <f t="shared" si="28"/>
        <v>1</v>
      </c>
      <c r="Q372" s="43" t="str">
        <v>*length*</v>
      </c>
      <c r="R372" s="43">
        <v>3</v>
      </c>
      <c r="S372" s="43">
        <f t="shared" si="29"/>
        <v>2.48</v>
      </c>
      <c r="T372" s="43">
        <f t="shared" si="30"/>
        <v>1</v>
      </c>
    </row>
    <row r="373" spans="7:20">
      <c r="G373" s="27" cm="1">
        <f t="array" ref="G373">INDEX($D:$D, MATCH(1, (H373 &gt;= $B:$B) * (H373 &lt;= $C:$C), 0))</f>
        <v>7</v>
      </c>
      <c r="H373" s="28">
        <v>46003</v>
      </c>
      <c r="I373" s="29" t="s">
        <v>34</v>
      </c>
      <c r="J373" s="29">
        <v>5.5</v>
      </c>
      <c r="K373" s="60" t="s">
        <v>246</v>
      </c>
      <c r="M373" s="43" t="str">
        <v>doors</v>
      </c>
      <c r="N373" s="43" t="str">
        <f t="shared" si="27"/>
        <v>*doors*</v>
      </c>
      <c r="O373" s="43" t="str">
        <v>*follow*</v>
      </c>
      <c r="P373" s="43">
        <f t="shared" si="28"/>
        <v>2</v>
      </c>
      <c r="Q373" s="43" t="str">
        <v>*adjust*</v>
      </c>
      <c r="R373" s="43">
        <v>3</v>
      </c>
      <c r="S373" s="43">
        <f t="shared" si="29"/>
        <v>2.48</v>
      </c>
      <c r="T373" s="43">
        <f t="shared" si="30"/>
        <v>1</v>
      </c>
    </row>
    <row r="374" spans="7:20">
      <c r="G374" s="27" t="str" cm="1">
        <f t="array" ref="G374">INDEX($D:$D, MATCH(1, (H374 &gt;= $B:$B) * (H374 &lt;= $C:$C), 0))</f>
        <v>WINTER BREAK</v>
      </c>
      <c r="H374" s="28">
        <v>46023</v>
      </c>
      <c r="I374" s="29" t="s">
        <v>16</v>
      </c>
      <c r="J374" s="29">
        <v>1</v>
      </c>
      <c r="K374" s="30" t="s">
        <v>247</v>
      </c>
      <c r="M374" s="43" t="str">
        <v>move,</v>
      </c>
      <c r="N374" s="43" t="str">
        <f t="shared" si="27"/>
        <v>*move*</v>
      </c>
      <c r="O374" s="43" t="str">
        <v>*character*</v>
      </c>
      <c r="P374" s="43">
        <f t="shared" si="28"/>
        <v>7</v>
      </c>
      <c r="Q374" s="43" t="str">
        <v>*results*</v>
      </c>
      <c r="R374" s="43">
        <v>3</v>
      </c>
      <c r="S374" s="43">
        <f t="shared" si="29"/>
        <v>2.48</v>
      </c>
      <c r="T374" s="43">
        <f t="shared" si="30"/>
        <v>1</v>
      </c>
    </row>
    <row r="375" spans="7:20">
      <c r="G375" s="27" t="str" cm="1">
        <f t="array" ref="G375">INDEX($D:$D, MATCH(1, (H375 &gt;= $B:$B) * (H375 &lt;= $C:$C), 0))</f>
        <v>WINTER BREAK</v>
      </c>
      <c r="H375" s="28">
        <v>46028</v>
      </c>
      <c r="I375" s="29" t="s">
        <v>16</v>
      </c>
      <c r="J375" s="29">
        <v>2</v>
      </c>
      <c r="K375" s="30" t="s">
        <v>248</v>
      </c>
      <c r="M375" s="43" t="str">
        <v>display</v>
      </c>
      <c r="N375" s="43" t="str">
        <f t="shared" si="27"/>
        <v>*display*</v>
      </c>
      <c r="O375" s="43" t="str">
        <v>*walksprint*</v>
      </c>
      <c r="P375" s="43">
        <f t="shared" si="28"/>
        <v>0</v>
      </c>
      <c r="Q375" s="43" t="str">
        <v>*external*</v>
      </c>
      <c r="R375" s="43">
        <v>3</v>
      </c>
      <c r="S375" s="43">
        <f t="shared" si="29"/>
        <v>2.48</v>
      </c>
      <c r="T375" s="43">
        <f t="shared" si="30"/>
        <v>1</v>
      </c>
    </row>
    <row r="376" spans="7:20">
      <c r="G376" s="27" t="str" cm="1">
        <f t="array" ref="G376">INDEX($D:$D, MATCH(1, (H376 &gt;= $B:$B) * (H376 &lt;= $C:$C), 0))</f>
        <v>WINTER BREAK</v>
      </c>
      <c r="H376" s="28">
        <v>46030</v>
      </c>
      <c r="I376" s="29" t="s">
        <v>16</v>
      </c>
      <c r="J376" s="29">
        <v>1</v>
      </c>
      <c r="K376" s="30" t="s">
        <v>249</v>
      </c>
      <c r="M376" s="43" t="str">
        <v>show</v>
      </c>
      <c r="N376" s="43" t="str">
        <f t="shared" ref="N376:N439" si="31">_xlfn.CONCAT("*",TRIM(CLEAN(_xlfn.REGEXREPLACE(LOWER($M376),$N$51,""))),"*")</f>
        <v>*show*</v>
      </c>
      <c r="O376" s="43" t="str">
        <v>*edited*</v>
      </c>
      <c r="P376" s="43">
        <f t="shared" ref="P376:P439" si="32">COUNTIF($K$5:$K$1000,$O376)</f>
        <v>2</v>
      </c>
      <c r="Q376" s="43" t="str">
        <v>*website*</v>
      </c>
      <c r="R376" s="43">
        <v>3</v>
      </c>
      <c r="S376" s="43">
        <f t="shared" ref="S376:S439" si="33">ROUND(LOG(COUNTA($M$54:$M$1000)/R376,10),2)</f>
        <v>2.48</v>
      </c>
      <c r="T376" s="43">
        <f t="shared" si="30"/>
        <v>1</v>
      </c>
    </row>
    <row r="377" spans="7:20">
      <c r="G377" s="27" t="str" cm="1">
        <f t="array" ref="G377">INDEX($D:$D, MATCH(1, (H377 &gt;= $B:$B) * (H377 &lt;= $C:$C), 0))</f>
        <v>WINTER BREAK</v>
      </c>
      <c r="H377" s="28">
        <v>46031</v>
      </c>
      <c r="I377" s="29" t="s">
        <v>16</v>
      </c>
      <c r="J377" s="29">
        <v>4</v>
      </c>
      <c r="K377" s="30" t="s">
        <v>250</v>
      </c>
      <c r="M377" s="43" t="str">
        <v>sequence</v>
      </c>
      <c r="N377" s="43" t="str">
        <f t="shared" si="31"/>
        <v>*sequence*</v>
      </c>
      <c r="O377" s="43" t="str">
        <v>*post*</v>
      </c>
      <c r="P377" s="43">
        <f t="shared" si="32"/>
        <v>8</v>
      </c>
      <c r="Q377" s="43" t="str">
        <v>*improve*</v>
      </c>
      <c r="R377" s="43">
        <v>3</v>
      </c>
      <c r="S377" s="43">
        <f t="shared" si="33"/>
        <v>2.48</v>
      </c>
      <c r="T377" s="43">
        <f t="shared" ref="T377:T440" si="34">ROUND($S377/$S376,2)</f>
        <v>1</v>
      </c>
    </row>
    <row r="378" spans="7:20">
      <c r="G378" s="27" t="str" cm="1">
        <f t="array" ref="G378">INDEX($D:$D, MATCH(1, (H378 &gt;= $B:$B) * (H378 &lt;= $C:$C), 0))</f>
        <v>WINTER BREAK</v>
      </c>
      <c r="H378" s="28">
        <v>46032</v>
      </c>
      <c r="I378" s="29" t="s">
        <v>16</v>
      </c>
      <c r="J378" s="29">
        <v>1</v>
      </c>
      <c r="K378" s="30" t="s">
        <v>251</v>
      </c>
      <c r="M378" s="43" t="str">
        <v>an</v>
      </c>
      <c r="N378" s="43" t="str">
        <f t="shared" si="31"/>
        <v>*an*</v>
      </c>
      <c r="O378" s="43" t="str">
        <v>*process*</v>
      </c>
      <c r="P378" s="43">
        <f t="shared" si="32"/>
        <v>1</v>
      </c>
      <c r="Q378" s="43" t="str">
        <v>*4*</v>
      </c>
      <c r="R378" s="43">
        <v>3</v>
      </c>
      <c r="S378" s="43">
        <f t="shared" si="33"/>
        <v>2.48</v>
      </c>
      <c r="T378" s="43">
        <f t="shared" si="34"/>
        <v>1</v>
      </c>
    </row>
    <row r="379" spans="7:20">
      <c r="G379" s="27" t="e" cm="1">
        <f t="array" ref="G379">INDEX($D:$D, MATCH(1, (H379 &gt;= $B:$B) * (H379 &lt;= $C:$C), 0))</f>
        <v>#N/A</v>
      </c>
      <c r="H379" s="28">
        <v>46034</v>
      </c>
      <c r="I379" s="29" t="s">
        <v>28</v>
      </c>
      <c r="J379" s="29">
        <v>2.25</v>
      </c>
      <c r="K379" s="30" t="s">
        <v>252</v>
      </c>
      <c r="M379" s="43" t="str">
        <v>error</v>
      </c>
      <c r="N379" s="43" t="str">
        <f t="shared" si="31"/>
        <v>*error*</v>
      </c>
      <c r="O379" s="43" t="str">
        <v>*volume*</v>
      </c>
      <c r="P379" s="43">
        <f t="shared" si="32"/>
        <v>1</v>
      </c>
      <c r="Q379" s="43" t="str">
        <v>*8*</v>
      </c>
      <c r="R379" s="43">
        <v>3</v>
      </c>
      <c r="S379" s="43">
        <f t="shared" si="33"/>
        <v>2.48</v>
      </c>
      <c r="T379" s="43">
        <f t="shared" si="34"/>
        <v>1</v>
      </c>
    </row>
    <row r="380" spans="7:20">
      <c r="G380" s="27" t="e" cm="1">
        <f t="array" ref="G380">INDEX($D:$D, MATCH(1, (H380 &gt;= $B:$B) * (H380 &lt;= $C:$C), 0))</f>
        <v>#N/A</v>
      </c>
      <c r="H380" s="28">
        <v>46034</v>
      </c>
      <c r="I380" s="29" t="s">
        <v>26</v>
      </c>
      <c r="J380" s="29">
        <v>2.25</v>
      </c>
      <c r="K380" s="30" t="s">
        <v>252</v>
      </c>
      <c r="M380" s="43" t="str">
        <v>I</v>
      </c>
      <c r="N380" s="43" t="str">
        <f t="shared" si="31"/>
        <v>*i*</v>
      </c>
      <c r="O380" s="43" t="str">
        <v>*have*</v>
      </c>
      <c r="P380" s="43">
        <f t="shared" si="32"/>
        <v>1</v>
      </c>
      <c r="Q380" s="43" t="str">
        <v>*issues*</v>
      </c>
      <c r="R380" s="43">
        <v>3</v>
      </c>
      <c r="S380" s="43">
        <f t="shared" si="33"/>
        <v>2.48</v>
      </c>
      <c r="T380" s="43">
        <f t="shared" si="34"/>
        <v>1</v>
      </c>
    </row>
    <row r="381" spans="7:20">
      <c r="G381" s="27" t="e" cm="1">
        <f t="array" ref="G381">INDEX($D:$D, MATCH(1, (H381 &gt;= $B:$B) * (H381 &lt;= $C:$C), 0))</f>
        <v>#N/A</v>
      </c>
      <c r="H381" s="28">
        <v>46034</v>
      </c>
      <c r="I381" s="29" t="s">
        <v>78</v>
      </c>
      <c r="J381" s="29">
        <v>2.25</v>
      </c>
      <c r="K381" s="30" t="s">
        <v>252</v>
      </c>
      <c r="M381" s="43" t="str">
        <v>created</v>
      </c>
      <c r="N381" s="43" t="str">
        <f t="shared" si="31"/>
        <v>*cre*</v>
      </c>
      <c r="O381" s="43" t="str">
        <v>*sky*</v>
      </c>
      <c r="P381" s="43">
        <f t="shared" si="32"/>
        <v>1</v>
      </c>
      <c r="Q381" s="43" t="str">
        <v>*audio*</v>
      </c>
      <c r="R381" s="43">
        <v>3</v>
      </c>
      <c r="S381" s="43">
        <f t="shared" si="33"/>
        <v>2.48</v>
      </c>
      <c r="T381" s="43">
        <f t="shared" si="34"/>
        <v>1</v>
      </c>
    </row>
    <row r="382" spans="7:20">
      <c r="G382" s="27" t="e" cm="1">
        <f t="array" ref="G382">INDEX($D:$D, MATCH(1, (H382 &gt;= $B:$B) * (H382 &lt;= $C:$C), 0))</f>
        <v>#N/A</v>
      </c>
      <c r="H382" s="28">
        <v>46034</v>
      </c>
      <c r="I382" s="29" t="s">
        <v>16</v>
      </c>
      <c r="J382" s="29">
        <v>2.25</v>
      </c>
      <c r="K382" s="30" t="s">
        <v>252</v>
      </c>
      <c r="M382" s="43" t="str">
        <v>door</v>
      </c>
      <c r="N382" s="43" t="str">
        <f t="shared" si="31"/>
        <v>*door*</v>
      </c>
      <c r="O382" s="43" t="str">
        <v>*back*</v>
      </c>
      <c r="P382" s="43">
        <f t="shared" si="32"/>
        <v>12</v>
      </c>
      <c r="Q382" s="43" t="str">
        <v>*packaged*</v>
      </c>
      <c r="R382" s="43">
        <v>3</v>
      </c>
      <c r="S382" s="43">
        <f t="shared" si="33"/>
        <v>2.48</v>
      </c>
      <c r="T382" s="43">
        <f t="shared" si="34"/>
        <v>1</v>
      </c>
    </row>
    <row r="383" spans="7:20">
      <c r="G383" s="27" t="e" cm="1">
        <f t="array" ref="G383">INDEX($D:$D, MATCH(1, (H383 &gt;= $B:$B) * (H383 &lt;= $C:$C), 0))</f>
        <v>#N/A</v>
      </c>
      <c r="H383" s="28">
        <v>46034</v>
      </c>
      <c r="I383" s="29" t="s">
        <v>34</v>
      </c>
      <c r="J383" s="29">
        <v>2.25</v>
      </c>
      <c r="K383" s="30" t="s">
        <v>252</v>
      </c>
      <c r="M383" s="43" t="str">
        <v>C++</v>
      </c>
      <c r="N383" s="43" t="str">
        <f t="shared" si="31"/>
        <v>*c++*</v>
      </c>
      <c r="O383" s="43" t="str">
        <v>*boundary*</v>
      </c>
      <c r="P383" s="43">
        <f t="shared" si="32"/>
        <v>1</v>
      </c>
      <c r="Q383" s="43" t="str">
        <v>*ths*</v>
      </c>
      <c r="R383" s="43">
        <v>3</v>
      </c>
      <c r="S383" s="43">
        <f t="shared" si="33"/>
        <v>2.48</v>
      </c>
      <c r="T383" s="43">
        <f t="shared" si="34"/>
        <v>1</v>
      </c>
    </row>
    <row r="384" spans="7:20">
      <c r="G384" s="27" t="e" cm="1">
        <f t="array" ref="G384">INDEX($D:$D, MATCH(1, (H384 &gt;= $B:$B) * (H384 &lt;= $C:$C), 0))</f>
        <v>#N/A</v>
      </c>
      <c r="H384" s="28">
        <v>46034</v>
      </c>
      <c r="I384" s="29" t="s">
        <v>24</v>
      </c>
      <c r="J384" s="29">
        <v>2.25</v>
      </c>
      <c r="K384" s="30" t="s">
        <v>252</v>
      </c>
      <c r="M384" s="43" t="str">
        <v>class</v>
      </c>
      <c r="N384" s="43" t="str">
        <f t="shared" si="31"/>
        <v>*class*</v>
      </c>
      <c r="O384" s="43" t="str">
        <v>*depth*</v>
      </c>
      <c r="P384" s="43">
        <f t="shared" si="32"/>
        <v>1</v>
      </c>
      <c r="Q384" s="43" t="str">
        <v>*optimiz*</v>
      </c>
      <c r="R384" s="43">
        <v>3</v>
      </c>
      <c r="S384" s="43">
        <f t="shared" si="33"/>
        <v>2.48</v>
      </c>
      <c r="T384" s="43">
        <f t="shared" si="34"/>
        <v>1</v>
      </c>
    </row>
    <row r="385" spans="7:20">
      <c r="G385" s="27" cm="1">
        <f t="array" ref="G385">INDEX($D:$D, MATCH(1, (H385 &gt;= $B:$B) * (H385 &lt;= $C:$C), 0))</f>
        <v>8</v>
      </c>
      <c r="H385" s="28">
        <v>46036</v>
      </c>
      <c r="I385" s="29" t="s">
        <v>16</v>
      </c>
      <c r="J385" s="29">
        <v>2</v>
      </c>
      <c r="K385" s="30" t="s">
        <v>253</v>
      </c>
      <c r="M385" s="43" t="str">
        <v>Change</v>
      </c>
      <c r="N385" s="43" t="str">
        <f t="shared" si="31"/>
        <v>*change*</v>
      </c>
      <c r="O385" s="43" t="str">
        <v>*stencil*</v>
      </c>
      <c r="P385" s="43">
        <f t="shared" si="32"/>
        <v>2</v>
      </c>
      <c r="Q385" s="43" t="str">
        <v>*optim*</v>
      </c>
      <c r="R385" s="43">
        <v>3</v>
      </c>
      <c r="S385" s="43">
        <f t="shared" si="33"/>
        <v>2.48</v>
      </c>
      <c r="T385" s="43">
        <f t="shared" si="34"/>
        <v>1</v>
      </c>
    </row>
    <row r="386" spans="7:20">
      <c r="G386" s="27" cm="1">
        <f t="array" ref="G386">INDEX($D:$D, MATCH(1, (H386 &gt;= $B:$B) * (H386 &lt;= $C:$C), 0))</f>
        <v>8</v>
      </c>
      <c r="H386" s="28">
        <v>46036</v>
      </c>
      <c r="I386" s="29" t="s">
        <v>24</v>
      </c>
      <c r="J386" s="29">
        <v>2</v>
      </c>
      <c r="K386" s="30" t="s">
        <v>253</v>
      </c>
      <c r="M386" s="43" t="str">
        <v>textures,</v>
      </c>
      <c r="N386" s="43" t="str">
        <f t="shared" si="31"/>
        <v>*textures*</v>
      </c>
      <c r="O386" s="43" t="str">
        <v>*app*</v>
      </c>
      <c r="P386" s="43">
        <f t="shared" si="32"/>
        <v>3</v>
      </c>
      <c r="Q386" s="43" t="str">
        <v>*its*</v>
      </c>
      <c r="R386" s="43">
        <v>3</v>
      </c>
      <c r="S386" s="43">
        <f t="shared" si="33"/>
        <v>2.48</v>
      </c>
      <c r="T386" s="43">
        <f t="shared" si="34"/>
        <v>1</v>
      </c>
    </row>
    <row r="387" spans="7:20">
      <c r="G387" s="27" cm="1">
        <f t="array" ref="G387">INDEX($D:$D, MATCH(1, (H387 &gt;= $B:$B) * (H387 &lt;= $C:$C), 0))</f>
        <v>8</v>
      </c>
      <c r="H387" s="28">
        <v>46036</v>
      </c>
      <c r="I387" s="29" t="s">
        <v>28</v>
      </c>
      <c r="J387" s="29">
        <v>1</v>
      </c>
      <c r="K387" s="30" t="s">
        <v>229</v>
      </c>
      <c r="M387" s="43" t="str">
        <v>redo</v>
      </c>
      <c r="N387" s="43" t="str">
        <f t="shared" si="31"/>
        <v>*redo*</v>
      </c>
      <c r="O387" s="43" t="str">
        <v>*certain*</v>
      </c>
      <c r="P387" s="43">
        <f t="shared" si="32"/>
        <v>1</v>
      </c>
      <c r="Q387" s="43" t="str">
        <v>*mom*</v>
      </c>
      <c r="R387" s="43">
        <v>3</v>
      </c>
      <c r="S387" s="43">
        <f t="shared" si="33"/>
        <v>2.48</v>
      </c>
      <c r="T387" s="43">
        <f t="shared" si="34"/>
        <v>1</v>
      </c>
    </row>
    <row r="388" spans="7:20">
      <c r="G388" s="27" cm="1">
        <f t="array" ref="G388">INDEX($D:$D, MATCH(1, (H388 &gt;= $B:$B) * (H388 &lt;= $C:$C), 0))</f>
        <v>8</v>
      </c>
      <c r="H388" s="28">
        <v>46036</v>
      </c>
      <c r="I388" s="29" t="s">
        <v>34</v>
      </c>
      <c r="J388" s="29">
        <v>1</v>
      </c>
      <c r="K388" s="30" t="s">
        <v>229</v>
      </c>
      <c r="M388" s="43" t="str">
        <v>Marshland,</v>
      </c>
      <c r="N388" s="43" t="str">
        <f t="shared" si="31"/>
        <v>*marshland*</v>
      </c>
      <c r="O388" s="43" t="str">
        <v>*restore*</v>
      </c>
      <c r="P388" s="43">
        <f t="shared" si="32"/>
        <v>1</v>
      </c>
      <c r="Q388" s="43" t="str">
        <v>*version*</v>
      </c>
      <c r="R388" s="43">
        <v>2</v>
      </c>
      <c r="S388" s="43">
        <f t="shared" si="33"/>
        <v>2.65</v>
      </c>
      <c r="T388" s="43">
        <f t="shared" si="34"/>
        <v>1.07</v>
      </c>
    </row>
    <row r="389" spans="7:20">
      <c r="G389" s="27" cm="1">
        <f t="array" ref="G389">INDEX($D:$D, MATCH(1, (H389 &gt;= $B:$B) * (H389 &lt;= $C:$C), 0))</f>
        <v>8</v>
      </c>
      <c r="H389" s="28">
        <v>46036</v>
      </c>
      <c r="I389" s="29" t="s">
        <v>78</v>
      </c>
      <c r="J389" s="29">
        <v>1</v>
      </c>
      <c r="K389" s="30" t="s">
        <v>229</v>
      </c>
      <c r="M389" s="43" t="str">
        <v>fences</v>
      </c>
      <c r="N389" s="43" t="str">
        <f t="shared" si="31"/>
        <v>*fences*</v>
      </c>
      <c r="O389" s="43" t="str">
        <v>*ocean*</v>
      </c>
      <c r="P389" s="43">
        <f t="shared" si="32"/>
        <v>2</v>
      </c>
      <c r="Q389" s="43" t="str">
        <v>*detective*</v>
      </c>
      <c r="R389" s="43">
        <v>2</v>
      </c>
      <c r="S389" s="43">
        <f t="shared" si="33"/>
        <v>2.65</v>
      </c>
      <c r="T389" s="43">
        <f t="shared" si="34"/>
        <v>1</v>
      </c>
    </row>
    <row r="390" spans="7:20">
      <c r="G390" s="27" cm="1">
        <f t="array" ref="G390">INDEX($D:$D, MATCH(1, (H390 &gt;= $B:$B) * (H390 &lt;= $C:$C), 0))</f>
        <v>8</v>
      </c>
      <c r="H390" s="28">
        <v>46036</v>
      </c>
      <c r="I390" s="29" t="s">
        <v>26</v>
      </c>
      <c r="J390" s="29">
        <v>1</v>
      </c>
      <c r="K390" s="30" t="s">
        <v>229</v>
      </c>
      <c r="M390" s="43" t="str">
        <v>lanters,</v>
      </c>
      <c r="N390" s="43" t="str">
        <f t="shared" si="31"/>
        <v>*lanters*</v>
      </c>
      <c r="O390" s="43" t="str">
        <v>*ingame*</v>
      </c>
      <c r="P390" s="43">
        <f t="shared" si="32"/>
        <v>0</v>
      </c>
      <c r="Q390" s="43" t="str">
        <v>*song*</v>
      </c>
      <c r="R390" s="43">
        <v>2</v>
      </c>
      <c r="S390" s="43">
        <f t="shared" si="33"/>
        <v>2.65</v>
      </c>
      <c r="T390" s="43">
        <f t="shared" si="34"/>
        <v>1</v>
      </c>
    </row>
    <row r="391" spans="7:20">
      <c r="G391" s="27" cm="1">
        <f t="array" ref="G391">INDEX($D:$D, MATCH(1, (H391 &gt;= $B:$B) * (H391 &lt;= $C:$C), 0))</f>
        <v>8</v>
      </c>
      <c r="H391" s="28">
        <v>46036</v>
      </c>
      <c r="I391" s="29" t="s">
        <v>16</v>
      </c>
      <c r="J391" s="29">
        <v>3</v>
      </c>
      <c r="K391" s="30" t="s">
        <v>248</v>
      </c>
      <c r="M391" s="43" t="str">
        <v>emmission</v>
      </c>
      <c r="N391" s="43" t="str">
        <f t="shared" si="31"/>
        <v>*emmission*</v>
      </c>
      <c r="O391" s="43" t="str">
        <v>*shirts*</v>
      </c>
      <c r="P391" s="43">
        <f t="shared" si="32"/>
        <v>1</v>
      </c>
      <c r="Q391" s="43" t="str">
        <v>*docusign*</v>
      </c>
      <c r="R391" s="43">
        <v>2</v>
      </c>
      <c r="S391" s="43">
        <f t="shared" si="33"/>
        <v>2.65</v>
      </c>
      <c r="T391" s="43">
        <f t="shared" si="34"/>
        <v>1</v>
      </c>
    </row>
    <row r="392" spans="7:20">
      <c r="G392" s="27" cm="1">
        <f t="array" ref="G392">INDEX($D:$D, MATCH(1, (H392 &gt;= $B:$B) * (H392 &lt;= $C:$C), 0))</f>
        <v>8</v>
      </c>
      <c r="H392" s="28">
        <v>46037</v>
      </c>
      <c r="I392" s="29" t="s">
        <v>16</v>
      </c>
      <c r="J392" s="29">
        <v>1</v>
      </c>
      <c r="K392" s="30" t="s">
        <v>248</v>
      </c>
      <c r="M392" s="43" t="str">
        <v>qualities</v>
      </c>
      <c r="N392" s="43" t="str">
        <f t="shared" si="31"/>
        <v>*qualities*</v>
      </c>
      <c r="O392" s="43" t="str">
        <v>*ambient*</v>
      </c>
      <c r="P392" s="43">
        <f t="shared" si="32"/>
        <v>2</v>
      </c>
      <c r="Q392" s="43" t="str">
        <v>*materials*</v>
      </c>
      <c r="R392" s="43">
        <v>2</v>
      </c>
      <c r="S392" s="43">
        <f t="shared" si="33"/>
        <v>2.65</v>
      </c>
      <c r="T392" s="43">
        <f t="shared" si="34"/>
        <v>1</v>
      </c>
    </row>
    <row r="393" spans="7:20">
      <c r="G393" s="27" cm="1">
        <f t="array" ref="G393">INDEX($D:$D, MATCH(1, (H393 &gt;= $B:$B) * (H393 &lt;= $C:$C), 0))</f>
        <v>8</v>
      </c>
      <c r="H393" s="28">
        <v>46037</v>
      </c>
      <c r="I393" s="29" t="s">
        <v>34</v>
      </c>
      <c r="J393" s="29">
        <v>2</v>
      </c>
      <c r="K393" s="30" t="s">
        <v>254</v>
      </c>
      <c r="M393" s="43" t="str">
        <v>modeling</v>
      </c>
      <c r="N393" s="43" t="str">
        <f t="shared" si="31"/>
        <v>*model*</v>
      </c>
      <c r="O393" s="43" t="str">
        <v>*daylight*</v>
      </c>
      <c r="P393" s="43">
        <f t="shared" si="32"/>
        <v>2</v>
      </c>
      <c r="Q393" s="43" t="str">
        <v>*reference*</v>
      </c>
      <c r="R393" s="43">
        <v>2</v>
      </c>
      <c r="S393" s="43">
        <f t="shared" si="33"/>
        <v>2.65</v>
      </c>
      <c r="T393" s="43">
        <f t="shared" si="34"/>
        <v>1</v>
      </c>
    </row>
    <row r="394" spans="7:20">
      <c r="G394" s="27" cm="1">
        <f t="array" ref="G394">INDEX($D:$D, MATCH(1, (H394 &gt;= $B:$B) * (H394 &lt;= $C:$C), 0))</f>
        <v>8</v>
      </c>
      <c r="H394" s="28">
        <v>46037</v>
      </c>
      <c r="I394" s="29" t="s">
        <v>78</v>
      </c>
      <c r="J394" s="29">
        <v>2</v>
      </c>
      <c r="K394" s="30" t="s">
        <v>254</v>
      </c>
      <c r="M394" s="43" t="str">
        <v>landscaping,</v>
      </c>
      <c r="N394" s="43" t="str">
        <f t="shared" si="31"/>
        <v>*landscap*</v>
      </c>
      <c r="O394" s="43" t="str">
        <v>*cycle*</v>
      </c>
      <c r="P394" s="43">
        <f t="shared" si="32"/>
        <v>3</v>
      </c>
      <c r="Q394" s="43" t="str">
        <v>*gather*</v>
      </c>
      <c r="R394" s="43">
        <v>2</v>
      </c>
      <c r="S394" s="43">
        <f t="shared" si="33"/>
        <v>2.65</v>
      </c>
      <c r="T394" s="43">
        <f t="shared" si="34"/>
        <v>1</v>
      </c>
    </row>
    <row r="395" spans="7:20">
      <c r="G395" s="27" cm="1">
        <f t="array" ref="G395">INDEX($D:$D, MATCH(1, (H395 &gt;= $B:$B) * (H395 &lt;= $C:$C), 0))</f>
        <v>8</v>
      </c>
      <c r="H395" s="28">
        <v>46038</v>
      </c>
      <c r="I395" s="29" t="s">
        <v>78</v>
      </c>
      <c r="J395" s="29">
        <v>1</v>
      </c>
      <c r="K395" s="30" t="s">
        <v>255</v>
      </c>
      <c r="M395" s="43" t="str">
        <v>twice</v>
      </c>
      <c r="N395" s="43" t="str">
        <f t="shared" si="31"/>
        <v>*twice*</v>
      </c>
      <c r="O395" s="43" t="str">
        <v>*near*</v>
      </c>
      <c r="P395" s="43">
        <f t="shared" si="32"/>
        <v>2</v>
      </c>
      <c r="Q395" s="43" t="str">
        <v>*writ*</v>
      </c>
      <c r="R395" s="43">
        <v>2</v>
      </c>
      <c r="S395" s="43">
        <f t="shared" si="33"/>
        <v>2.65</v>
      </c>
      <c r="T395" s="43">
        <f t="shared" si="34"/>
        <v>1</v>
      </c>
    </row>
    <row r="396" spans="7:20">
      <c r="G396" s="27" cm="1">
        <f t="array" ref="G396">INDEX($D:$D, MATCH(1, (H396 &gt;= $B:$B) * (H396 &lt;= $C:$C), 0))</f>
        <v>8</v>
      </c>
      <c r="H396" s="28">
        <v>46038</v>
      </c>
      <c r="I396" s="29" t="s">
        <v>16</v>
      </c>
      <c r="J396" s="29">
        <v>1</v>
      </c>
      <c r="K396" s="30" t="s">
        <v>255</v>
      </c>
      <c r="M396" s="43" t="str">
        <v>because</v>
      </c>
      <c r="N396" s="43" t="str">
        <f t="shared" si="31"/>
        <v>*because*</v>
      </c>
      <c r="O396" s="43" t="str">
        <v>*entrance*</v>
      </c>
      <c r="P396" s="43">
        <f t="shared" si="32"/>
        <v>1</v>
      </c>
      <c r="Q396" s="43" t="str">
        <v>*investigate*</v>
      </c>
      <c r="R396" s="43">
        <v>2</v>
      </c>
      <c r="S396" s="43">
        <f t="shared" si="33"/>
        <v>2.65</v>
      </c>
      <c r="T396" s="43">
        <f t="shared" si="34"/>
        <v>1</v>
      </c>
    </row>
    <row r="397" spans="7:20">
      <c r="G397" s="27" cm="1">
        <f t="array" ref="G397">INDEX($D:$D, MATCH(1, (H397 &gt;= $B:$B) * (H397 &lt;= $C:$C), 0))</f>
        <v>8</v>
      </c>
      <c r="H397" s="28">
        <v>46038</v>
      </c>
      <c r="I397" s="29" t="s">
        <v>34</v>
      </c>
      <c r="J397" s="29">
        <v>1</v>
      </c>
      <c r="K397" s="30" t="s">
        <v>255</v>
      </c>
      <c r="M397" s="43" t="str">
        <v>UE</v>
      </c>
      <c r="N397" s="43" t="str">
        <f t="shared" si="31"/>
        <v>*ue*</v>
      </c>
      <c r="O397" s="43" t="str">
        <v>*menus*</v>
      </c>
      <c r="P397" s="43">
        <f t="shared" si="32"/>
        <v>8</v>
      </c>
      <c r="Q397" s="43" t="str">
        <v>*riley*</v>
      </c>
      <c r="R397" s="43">
        <v>2</v>
      </c>
      <c r="S397" s="43">
        <f t="shared" si="33"/>
        <v>2.65</v>
      </c>
      <c r="T397" s="43">
        <f t="shared" si="34"/>
        <v>1</v>
      </c>
    </row>
    <row r="398" spans="7:20">
      <c r="G398" s="27" cm="1">
        <f t="array" ref="G398">INDEX($D:$D, MATCH(1, (H398 &gt;= $B:$B) * (H398 &lt;= $C:$C), 0))</f>
        <v>8</v>
      </c>
      <c r="H398" s="28">
        <v>46038</v>
      </c>
      <c r="I398" s="29" t="s">
        <v>28</v>
      </c>
      <c r="J398" s="29">
        <v>1</v>
      </c>
      <c r="K398" s="30" t="s">
        <v>255</v>
      </c>
      <c r="M398" s="43" t="str">
        <v>wouldn't</v>
      </c>
      <c r="N398" s="43" t="str">
        <f t="shared" si="31"/>
        <v>*wouldnt*</v>
      </c>
      <c r="O398" s="43" t="str">
        <v>*continued*</v>
      </c>
      <c r="P398" s="43">
        <f t="shared" si="32"/>
        <v>1</v>
      </c>
      <c r="Q398" s="43" t="str">
        <v>*tool*</v>
      </c>
      <c r="R398" s="43">
        <v>2</v>
      </c>
      <c r="S398" s="43">
        <f t="shared" si="33"/>
        <v>2.65</v>
      </c>
      <c r="T398" s="43">
        <f t="shared" si="34"/>
        <v>1</v>
      </c>
    </row>
    <row r="399" spans="7:20">
      <c r="G399" s="27" cm="1">
        <f t="array" ref="G399">INDEX($D:$D, MATCH(1, (H399 &gt;= $B:$B) * (H399 &lt;= $C:$C), 0))</f>
        <v>8</v>
      </c>
      <c r="H399" s="28">
        <v>46038</v>
      </c>
      <c r="I399" s="29" t="s">
        <v>26</v>
      </c>
      <c r="J399" s="29">
        <v>1</v>
      </c>
      <c r="K399" s="30" t="s">
        <v>255</v>
      </c>
      <c r="M399" s="43" t="str">
        <v>stop</v>
      </c>
      <c r="N399" s="43" t="str">
        <f t="shared" si="31"/>
        <v>*stop*</v>
      </c>
      <c r="O399" s="43" t="str">
        <v>*confirma*</v>
      </c>
      <c r="P399" s="43">
        <f t="shared" si="32"/>
        <v>1</v>
      </c>
      <c r="Q399" s="43" t="str">
        <v>*reorganize*</v>
      </c>
      <c r="R399" s="43">
        <v>2</v>
      </c>
      <c r="S399" s="43">
        <f t="shared" si="33"/>
        <v>2.65</v>
      </c>
      <c r="T399" s="43">
        <f t="shared" si="34"/>
        <v>1</v>
      </c>
    </row>
    <row r="400" spans="7:20">
      <c r="G400" s="27" cm="1">
        <f t="array" ref="G400">INDEX($D:$D, MATCH(1, (H400 &gt;= $B:$B) * (H400 &lt;= $C:$C), 0))</f>
        <v>8</v>
      </c>
      <c r="H400" s="28">
        <v>46038</v>
      </c>
      <c r="I400" s="29" t="s">
        <v>78</v>
      </c>
      <c r="J400" s="29">
        <v>1.5</v>
      </c>
      <c r="K400" s="30" t="s">
        <v>256</v>
      </c>
      <c r="M400" s="43" t="str">
        <v>giving</v>
      </c>
      <c r="N400" s="43" t="str">
        <f t="shared" si="31"/>
        <v>*giv*</v>
      </c>
      <c r="O400" s="43" t="str">
        <v>*remapp*</v>
      </c>
      <c r="P400" s="43">
        <f t="shared" si="32"/>
        <v>1</v>
      </c>
      <c r="Q400" s="43" t="str">
        <v>*woodwinds*</v>
      </c>
      <c r="R400" s="43">
        <v>2</v>
      </c>
      <c r="S400" s="43">
        <f t="shared" si="33"/>
        <v>2.65</v>
      </c>
      <c r="T400" s="43">
        <f t="shared" si="34"/>
        <v>1</v>
      </c>
    </row>
    <row r="401" spans="7:20">
      <c r="G401" s="27" cm="1">
        <f t="array" ref="G401">INDEX($D:$D, MATCH(1, (H401 &gt;= $B:$B) * (H401 &lt;= $C:$C), 0))</f>
        <v>8</v>
      </c>
      <c r="H401" s="28">
        <v>46038</v>
      </c>
      <c r="I401" s="29" t="s">
        <v>16</v>
      </c>
      <c r="J401" s="29">
        <v>1.5</v>
      </c>
      <c r="K401" s="30" t="s">
        <v>256</v>
      </c>
      <c r="M401" s="43" t="str">
        <v>me</v>
      </c>
      <c r="N401" s="43" t="str">
        <f t="shared" si="31"/>
        <v>*me*</v>
      </c>
      <c r="O401" s="43" t="str">
        <v>*keybind*</v>
      </c>
      <c r="P401" s="43">
        <f t="shared" si="32"/>
        <v>2</v>
      </c>
      <c r="Q401" s="43" t="str">
        <v>*experiment*</v>
      </c>
      <c r="R401" s="43">
        <v>2</v>
      </c>
      <c r="S401" s="43">
        <f t="shared" si="33"/>
        <v>2.65</v>
      </c>
      <c r="T401" s="43">
        <f t="shared" si="34"/>
        <v>1</v>
      </c>
    </row>
    <row r="402" spans="7:20">
      <c r="G402" s="27" cm="1">
        <f t="array" ref="G402">INDEX($D:$D, MATCH(1, (H402 &gt;= $B:$B) * (H402 &lt;= $C:$C), 0))</f>
        <v>8</v>
      </c>
      <c r="H402" s="28">
        <v>46038</v>
      </c>
      <c r="I402" s="29" t="s">
        <v>34</v>
      </c>
      <c r="J402" s="29">
        <v>1.5</v>
      </c>
      <c r="K402" s="30" t="s">
        <v>256</v>
      </c>
      <c r="M402" s="43" t="str">
        <v>errors,</v>
      </c>
      <c r="N402" s="43" t="str">
        <f t="shared" si="31"/>
        <v>*errors*</v>
      </c>
      <c r="O402" s="43" t="str">
        <v>*needs*</v>
      </c>
      <c r="P402" s="43">
        <f t="shared" si="32"/>
        <v>1</v>
      </c>
      <c r="Q402" s="43" t="str">
        <v>*physics*</v>
      </c>
      <c r="R402" s="43">
        <v>2</v>
      </c>
      <c r="S402" s="43">
        <f t="shared" si="33"/>
        <v>2.65</v>
      </c>
      <c r="T402" s="43">
        <f t="shared" si="34"/>
        <v>1</v>
      </c>
    </row>
    <row r="403" spans="7:20">
      <c r="G403" s="27" cm="1">
        <f t="array" ref="G403">INDEX($D:$D, MATCH(1, (H403 &gt;= $B:$B) * (H403 &lt;= $C:$C), 0))</f>
        <v>8</v>
      </c>
      <c r="H403" s="28">
        <v>46038</v>
      </c>
      <c r="I403" s="29" t="s">
        <v>28</v>
      </c>
      <c r="J403" s="29">
        <v>1.5</v>
      </c>
      <c r="K403" s="30" t="s">
        <v>256</v>
      </c>
      <c r="M403" s="43" t="str">
        <v>page</v>
      </c>
      <c r="N403" s="43" t="str">
        <f t="shared" si="31"/>
        <v>*page*</v>
      </c>
      <c r="O403" s="43" t="str">
        <v>*clean*</v>
      </c>
      <c r="P403" s="43">
        <f t="shared" si="32"/>
        <v>8</v>
      </c>
      <c r="Q403" s="43" t="str">
        <v>*walls*</v>
      </c>
      <c r="R403" s="43">
        <v>2</v>
      </c>
      <c r="S403" s="43">
        <f t="shared" si="33"/>
        <v>2.65</v>
      </c>
      <c r="T403" s="43">
        <f t="shared" si="34"/>
        <v>1</v>
      </c>
    </row>
    <row r="404" spans="7:20">
      <c r="G404" s="27" cm="1">
        <f t="array" ref="G404">INDEX($D:$D, MATCH(1, (H404 &gt;= $B:$B) * (H404 &lt;= $C:$C), 0))</f>
        <v>8</v>
      </c>
      <c r="H404" s="28">
        <v>46038</v>
      </c>
      <c r="I404" s="29" t="s">
        <v>26</v>
      </c>
      <c r="J404" s="29">
        <v>1.5</v>
      </c>
      <c r="K404" s="30" t="s">
        <v>256</v>
      </c>
      <c r="M404" s="43" t="str">
        <v>glowing</v>
      </c>
      <c r="N404" s="43" t="str">
        <f t="shared" si="31"/>
        <v>*glow*</v>
      </c>
      <c r="O404" s="43" t="str">
        <v>*correc*</v>
      </c>
      <c r="P404" s="43">
        <f t="shared" si="32"/>
        <v>1</v>
      </c>
      <c r="Q404" s="43" t="str">
        <v>*decorate*</v>
      </c>
      <c r="R404" s="43">
        <v>2</v>
      </c>
      <c r="S404" s="43">
        <f t="shared" si="33"/>
        <v>2.65</v>
      </c>
      <c r="T404" s="43">
        <f t="shared" si="34"/>
        <v>1</v>
      </c>
    </row>
    <row r="405" spans="7:20">
      <c r="G405" s="27" cm="1">
        <f t="array" ref="G405">INDEX($D:$D, MATCH(1, (H405 &gt;= $B:$B) * (H405 &lt;= $C:$C), 0))</f>
        <v>8</v>
      </c>
      <c r="H405" s="28">
        <v>46040</v>
      </c>
      <c r="I405" s="29" t="s">
        <v>78</v>
      </c>
      <c r="J405" s="29">
        <v>2</v>
      </c>
      <c r="K405" s="30" t="s">
        <v>254</v>
      </c>
      <c r="M405" s="43" t="str">
        <v>footsteps</v>
      </c>
      <c r="N405" s="43" t="str">
        <f t="shared" si="31"/>
        <v>*footsteps*</v>
      </c>
      <c r="O405" s="43" t="str">
        <v>*cutscene*</v>
      </c>
      <c r="P405" s="43">
        <f t="shared" si="32"/>
        <v>17</v>
      </c>
      <c r="Q405" s="43" t="str">
        <v>*call*</v>
      </c>
      <c r="R405" s="43">
        <v>2</v>
      </c>
      <c r="S405" s="43">
        <f t="shared" si="33"/>
        <v>2.65</v>
      </c>
      <c r="T405" s="43">
        <f t="shared" si="34"/>
        <v>1</v>
      </c>
    </row>
    <row r="406" spans="7:20">
      <c r="G406" s="27" cm="1">
        <f t="array" ref="G406">INDEX($D:$D, MATCH(1, (H406 &gt;= $B:$B) * (H406 &lt;= $C:$C), 0))</f>
        <v>8</v>
      </c>
      <c r="H406" s="28">
        <v>46040</v>
      </c>
      <c r="I406" s="29" t="s">
        <v>34</v>
      </c>
      <c r="J406" s="29">
        <v>2</v>
      </c>
      <c r="K406" s="30" t="s">
        <v>254</v>
      </c>
      <c r="M406" s="43" t="str">
        <v>that</v>
      </c>
      <c r="N406" s="43" t="str">
        <f t="shared" si="31"/>
        <v>*that*</v>
      </c>
      <c r="O406" s="43" t="str">
        <v>*find*</v>
      </c>
      <c r="P406" s="43">
        <f t="shared" si="32"/>
        <v>1</v>
      </c>
      <c r="Q406" s="43" t="str">
        <v>*ricardo*</v>
      </c>
      <c r="R406" s="43">
        <v>2</v>
      </c>
      <c r="S406" s="43">
        <f t="shared" si="33"/>
        <v>2.65</v>
      </c>
      <c r="T406" s="43">
        <f t="shared" si="34"/>
        <v>1</v>
      </c>
    </row>
    <row r="407" spans="7:20">
      <c r="G407" s="27" cm="1">
        <f t="array" ref="G407">INDEX($D:$D, MATCH(1, (H407 &gt;= $B:$B) * (H407 &lt;= $C:$C), 0))</f>
        <v>8</v>
      </c>
      <c r="H407" s="28">
        <v>46040</v>
      </c>
      <c r="I407" s="29" t="s">
        <v>28</v>
      </c>
      <c r="J407" s="29">
        <v>1.5</v>
      </c>
      <c r="K407" s="61" t="s">
        <v>257</v>
      </c>
      <c r="M407" s="43" t="str">
        <v>follow</v>
      </c>
      <c r="N407" s="43" t="str">
        <f t="shared" si="31"/>
        <v>*follow*</v>
      </c>
      <c r="O407" s="43" t="str">
        <v>*warn*</v>
      </c>
      <c r="P407" s="43">
        <f t="shared" si="32"/>
        <v>2</v>
      </c>
      <c r="Q407" s="43" t="str">
        <v>*palm*</v>
      </c>
      <c r="R407" s="43">
        <v>2</v>
      </c>
      <c r="S407" s="43">
        <f t="shared" si="33"/>
        <v>2.65</v>
      </c>
      <c r="T407" s="43">
        <f t="shared" si="34"/>
        <v>1</v>
      </c>
    </row>
    <row r="408" spans="7:20">
      <c r="G408" s="27" cm="1">
        <f t="array" ref="G408">INDEX($D:$D, MATCH(1, (H408 &gt;= $B:$B) * (H408 &lt;= $C:$C), 0))</f>
        <v>8</v>
      </c>
      <c r="H408" s="28">
        <v>46040</v>
      </c>
      <c r="I408" s="29" t="s">
        <v>26</v>
      </c>
      <c r="J408" s="29">
        <v>1.5</v>
      </c>
      <c r="K408" s="30" t="s">
        <v>257</v>
      </c>
      <c r="M408" s="43" t="str">
        <v>character</v>
      </c>
      <c r="N408" s="43" t="str">
        <f t="shared" si="31"/>
        <v>*character*</v>
      </c>
      <c r="O408" s="43" t="str">
        <v>*them*</v>
      </c>
      <c r="P408" s="43">
        <f t="shared" si="32"/>
        <v>4</v>
      </c>
      <c r="Q408" s="43" t="str">
        <v>*center*</v>
      </c>
      <c r="R408" s="43">
        <v>2</v>
      </c>
      <c r="S408" s="43">
        <f t="shared" si="33"/>
        <v>2.65</v>
      </c>
      <c r="T408" s="43">
        <f t="shared" si="34"/>
        <v>1</v>
      </c>
    </row>
    <row r="409" spans="7:20">
      <c r="G409" s="27" cm="1">
        <f t="array" ref="G409">INDEX($D:$D, MATCH(1, (H409 &gt;= $B:$B) * (H409 &lt;= $C:$C), 0))</f>
        <v>8</v>
      </c>
      <c r="H409" s="28">
        <v>46041</v>
      </c>
      <c r="I409" s="29" t="s">
        <v>78</v>
      </c>
      <c r="J409" s="29">
        <v>2</v>
      </c>
      <c r="K409" s="30" t="s">
        <v>258</v>
      </c>
      <c r="M409" s="43" t="str">
        <v>walk/sprint</v>
      </c>
      <c r="N409" s="43" t="str">
        <f t="shared" si="31"/>
        <v>*walksprint*</v>
      </c>
      <c r="O409" s="43" t="str">
        <v>*win*</v>
      </c>
      <c r="P409" s="43">
        <f t="shared" si="32"/>
        <v>10</v>
      </c>
      <c r="Q409" s="43" t="str">
        <v>*blueprints*</v>
      </c>
      <c r="R409" s="43">
        <v>2</v>
      </c>
      <c r="S409" s="43">
        <f t="shared" si="33"/>
        <v>2.65</v>
      </c>
      <c r="T409" s="43">
        <f t="shared" si="34"/>
        <v>1</v>
      </c>
    </row>
    <row r="410" spans="7:20">
      <c r="G410" s="27" cm="1">
        <f t="array" ref="G410">INDEX($D:$D, MATCH(1, (H410 &gt;= $B:$B) * (H410 &lt;= $C:$C), 0))</f>
        <v>8</v>
      </c>
      <c r="H410" s="28">
        <v>46041</v>
      </c>
      <c r="I410" s="29" t="s">
        <v>16</v>
      </c>
      <c r="J410" s="29">
        <v>1.25</v>
      </c>
      <c r="K410" s="30" t="s">
        <v>259</v>
      </c>
      <c r="M410" s="43" t="str">
        <v>Edited</v>
      </c>
      <c r="N410" s="43" t="str">
        <f t="shared" si="31"/>
        <v>*edited*</v>
      </c>
      <c r="O410" s="43" t="str">
        <v>*event*</v>
      </c>
      <c r="P410" s="43">
        <f t="shared" si="32"/>
        <v>1</v>
      </c>
      <c r="Q410" s="43" t="str">
        <v>*slides*</v>
      </c>
      <c r="R410" s="43">
        <v>2</v>
      </c>
      <c r="S410" s="43">
        <f t="shared" si="33"/>
        <v>2.65</v>
      </c>
      <c r="T410" s="43">
        <f t="shared" si="34"/>
        <v>1</v>
      </c>
    </row>
    <row r="411" spans="7:20">
      <c r="G411" s="27" cm="1">
        <f t="array" ref="G411">INDEX($D:$D, MATCH(1, (H411 &gt;= $B:$B) * (H411 &lt;= $C:$C), 0))</f>
        <v>8</v>
      </c>
      <c r="H411" s="63">
        <v>46041</v>
      </c>
      <c r="I411" s="29" t="s">
        <v>26</v>
      </c>
      <c r="J411" s="29">
        <v>1.25</v>
      </c>
      <c r="K411" s="30" t="s">
        <v>259</v>
      </c>
      <c r="M411" s="43" t="str">
        <v>Post</v>
      </c>
      <c r="N411" s="43" t="str">
        <f t="shared" si="31"/>
        <v>*post*</v>
      </c>
      <c r="O411" s="43" t="str">
        <v>*too*</v>
      </c>
      <c r="P411" s="43">
        <f t="shared" si="32"/>
        <v>3</v>
      </c>
      <c r="Q411" s="43" t="str">
        <v>*watch*</v>
      </c>
      <c r="R411" s="43">
        <v>2</v>
      </c>
      <c r="S411" s="43">
        <f t="shared" si="33"/>
        <v>2.65</v>
      </c>
      <c r="T411" s="43">
        <f t="shared" si="34"/>
        <v>1</v>
      </c>
    </row>
    <row r="412" spans="7:20">
      <c r="G412" s="27" cm="1">
        <f t="array" ref="G412">INDEX($D:$D, MATCH(1, (H412 &gt;= $B:$B) * (H412 &lt;= $C:$C), 0))</f>
        <v>8</v>
      </c>
      <c r="H412" s="63">
        <v>46041</v>
      </c>
      <c r="I412" s="29" t="s">
        <v>34</v>
      </c>
      <c r="J412" s="29">
        <v>1.25</v>
      </c>
      <c r="K412" s="30" t="s">
        <v>259</v>
      </c>
      <c r="M412" s="43" t="str">
        <v>process</v>
      </c>
      <c r="N412" s="43" t="str">
        <f t="shared" si="31"/>
        <v>*process*</v>
      </c>
      <c r="O412" s="43" t="str">
        <v>*ovals*</v>
      </c>
      <c r="P412" s="43">
        <f t="shared" si="32"/>
        <v>1</v>
      </c>
      <c r="Q412" s="43" t="str">
        <v>*quit*</v>
      </c>
      <c r="R412" s="43">
        <v>2</v>
      </c>
      <c r="S412" s="43">
        <f t="shared" si="33"/>
        <v>2.65</v>
      </c>
      <c r="T412" s="43">
        <f t="shared" si="34"/>
        <v>1</v>
      </c>
    </row>
    <row r="413" spans="7:20">
      <c r="G413" s="27" cm="1">
        <f t="array" ref="G413">INDEX($D:$D, MATCH(1, (H413 &gt;= $B:$B) * (H413 &lt;= $C:$C), 0))</f>
        <v>8</v>
      </c>
      <c r="H413" s="63">
        <v>46041</v>
      </c>
      <c r="I413" s="29" t="s">
        <v>28</v>
      </c>
      <c r="J413" s="29">
        <v>1.25</v>
      </c>
      <c r="K413" s="30" t="s">
        <v>259</v>
      </c>
      <c r="M413" s="43" t="str">
        <v>volume</v>
      </c>
      <c r="N413" s="43" t="str">
        <f t="shared" si="31"/>
        <v>*volume*</v>
      </c>
      <c r="O413" s="43" t="str">
        <v>*greyscale*</v>
      </c>
      <c r="P413" s="43">
        <f t="shared" si="32"/>
        <v>1</v>
      </c>
      <c r="Q413" s="43" t="str">
        <v>*budget*</v>
      </c>
      <c r="R413" s="43">
        <v>2</v>
      </c>
      <c r="S413" s="43">
        <f t="shared" si="33"/>
        <v>2.65</v>
      </c>
      <c r="T413" s="43">
        <f t="shared" si="34"/>
        <v>1</v>
      </c>
    </row>
    <row r="414" spans="7:20">
      <c r="G414" s="27" cm="1">
        <f t="array" ref="G414">INDEX($D:$D, MATCH(1, (H414 &gt;= $B:$B) * (H414 &lt;= $C:$C), 0))</f>
        <v>8</v>
      </c>
      <c r="H414" s="63">
        <v>46041</v>
      </c>
      <c r="I414" s="29" t="s">
        <v>78</v>
      </c>
      <c r="J414" s="29">
        <v>1.25</v>
      </c>
      <c r="K414" s="30" t="s">
        <v>259</v>
      </c>
      <c r="M414" s="43" t="str">
        <v>have</v>
      </c>
      <c r="N414" s="43" t="str">
        <f t="shared" si="31"/>
        <v>*have*</v>
      </c>
      <c r="O414" s="43" t="str">
        <v>*titlescreen*</v>
      </c>
      <c r="P414" s="43">
        <f t="shared" si="32"/>
        <v>1</v>
      </c>
      <c r="Q414" s="43" t="str">
        <v>*based*</v>
      </c>
      <c r="R414" s="43">
        <v>2</v>
      </c>
      <c r="S414" s="43">
        <f t="shared" si="33"/>
        <v>2.65</v>
      </c>
      <c r="T414" s="43">
        <f t="shared" si="34"/>
        <v>1</v>
      </c>
    </row>
    <row r="415" spans="7:20">
      <c r="G415" s="27" cm="1">
        <f t="array" ref="G415">INDEX($D:$D, MATCH(1, (H415 &gt;= $B:$B) * (H415 &lt;= $C:$C), 0))</f>
        <v>8</v>
      </c>
      <c r="H415" s="28">
        <v>46041</v>
      </c>
      <c r="I415" s="29" t="s">
        <v>16</v>
      </c>
      <c r="J415" s="29">
        <v>2</v>
      </c>
      <c r="K415" s="30" t="s">
        <v>260</v>
      </c>
      <c r="M415" s="43" t="str">
        <v>sky</v>
      </c>
      <c r="N415" s="43" t="str">
        <f t="shared" si="31"/>
        <v>*sky*</v>
      </c>
      <c r="O415" s="43" t="str">
        <v>*finals*</v>
      </c>
      <c r="P415" s="43">
        <f t="shared" si="32"/>
        <v>1</v>
      </c>
      <c r="Q415" s="43" t="str">
        <v>*compos*</v>
      </c>
      <c r="R415" s="43">
        <v>2</v>
      </c>
      <c r="S415" s="43">
        <f t="shared" si="33"/>
        <v>2.65</v>
      </c>
      <c r="T415" s="43">
        <f t="shared" si="34"/>
        <v>1</v>
      </c>
    </row>
    <row r="416" spans="7:20">
      <c r="G416" s="27" cm="1">
        <f t="array" ref="G416">INDEX($D:$D, MATCH(1, (H416 &gt;= $B:$B) * (H416 &lt;= $C:$C), 0))</f>
        <v>8</v>
      </c>
      <c r="H416" s="28">
        <v>46044</v>
      </c>
      <c r="I416" s="29" t="s">
        <v>34</v>
      </c>
      <c r="J416" s="29">
        <v>4</v>
      </c>
      <c r="K416" s="30" t="s">
        <v>261</v>
      </c>
      <c r="M416" s="43" t="str">
        <v>back</v>
      </c>
      <c r="N416" s="43" t="str">
        <f t="shared" si="31"/>
        <v>*back*</v>
      </c>
      <c r="O416" s="43" t="str">
        <v>*showcase*</v>
      </c>
      <c r="P416" s="43">
        <f t="shared" si="32"/>
        <v>1</v>
      </c>
      <c r="Q416" s="43" t="str">
        <v>*pause*</v>
      </c>
      <c r="R416" s="43">
        <v>2</v>
      </c>
      <c r="S416" s="43">
        <f t="shared" si="33"/>
        <v>2.65</v>
      </c>
      <c r="T416" s="43">
        <f t="shared" si="34"/>
        <v>1</v>
      </c>
    </row>
    <row r="417" spans="7:20">
      <c r="G417" s="27" cm="1">
        <f t="array" ref="G417">INDEX($D:$D, MATCH(1, (H417 &gt;= $B:$B) * (H417 &lt;= $C:$C), 0))</f>
        <v>8</v>
      </c>
      <c r="H417" s="28">
        <v>46045</v>
      </c>
      <c r="I417" s="29" t="s">
        <v>16</v>
      </c>
      <c r="J417" s="29">
        <v>5</v>
      </c>
      <c r="K417" s="30" t="s">
        <v>262</v>
      </c>
      <c r="M417" s="43" t="str">
        <v>boundary</v>
      </c>
      <c r="N417" s="43" t="str">
        <f t="shared" si="31"/>
        <v>*boundary*</v>
      </c>
      <c r="O417" s="43" t="str">
        <v>*most*</v>
      </c>
      <c r="P417" s="43">
        <f t="shared" si="32"/>
        <v>2</v>
      </c>
      <c r="Q417" s="43" t="str">
        <v>*well*</v>
      </c>
      <c r="R417" s="43">
        <v>2</v>
      </c>
      <c r="S417" s="43">
        <f t="shared" si="33"/>
        <v>2.65</v>
      </c>
      <c r="T417" s="43">
        <f t="shared" si="34"/>
        <v>1</v>
      </c>
    </row>
    <row r="418" spans="7:20">
      <c r="G418" s="27" cm="1">
        <f t="array" ref="G418">INDEX($D:$D, MATCH(1, (H418 &gt;= $B:$B) * (H418 &lt;= $C:$C), 0))</f>
        <v>8</v>
      </c>
      <c r="H418" s="28">
        <v>46046</v>
      </c>
      <c r="I418" s="29" t="s">
        <v>16</v>
      </c>
      <c r="J418" s="29">
        <v>3.5</v>
      </c>
      <c r="K418" s="30" t="s">
        <v>263</v>
      </c>
      <c r="M418" s="43" t="str">
        <v>depth</v>
      </c>
      <c r="N418" s="43" t="str">
        <f t="shared" si="31"/>
        <v>*depth*</v>
      </c>
      <c r="O418" s="43" t="str">
        <v>*reset*</v>
      </c>
      <c r="P418" s="43">
        <f t="shared" si="32"/>
        <v>3</v>
      </c>
      <c r="Q418" s="43" t="str">
        <v>*town*</v>
      </c>
      <c r="R418" s="43">
        <v>2</v>
      </c>
      <c r="S418" s="43">
        <f t="shared" si="33"/>
        <v>2.65</v>
      </c>
      <c r="T418" s="43">
        <f t="shared" si="34"/>
        <v>1</v>
      </c>
    </row>
    <row r="419" spans="7:20">
      <c r="G419" s="27" cm="1">
        <f t="array" ref="G419">INDEX($D:$D, MATCH(1, (H419 &gt;= $B:$B) * (H419 &lt;= $C:$C), 0))</f>
        <v>8</v>
      </c>
      <c r="H419" s="28">
        <v>46047</v>
      </c>
      <c r="I419" s="29" t="s">
        <v>16</v>
      </c>
      <c r="J419" s="29">
        <v>4</v>
      </c>
      <c r="K419" s="30" t="s">
        <v>264</v>
      </c>
      <c r="M419" s="43" t="str">
        <v>stencil</v>
      </c>
      <c r="N419" s="43" t="str">
        <f t="shared" si="31"/>
        <v>*stencil*</v>
      </c>
      <c r="O419" s="43" t="str">
        <v>*keybinds*</v>
      </c>
      <c r="P419" s="43">
        <f t="shared" si="32"/>
        <v>2</v>
      </c>
      <c r="Q419" s="43" t="str">
        <v>*paths*</v>
      </c>
      <c r="R419" s="43">
        <v>2</v>
      </c>
      <c r="S419" s="43">
        <f t="shared" si="33"/>
        <v>2.65</v>
      </c>
      <c r="T419" s="43">
        <f t="shared" si="34"/>
        <v>1</v>
      </c>
    </row>
    <row r="420" spans="7:20">
      <c r="G420" s="27" cm="1">
        <f t="array" ref="G420">INDEX($D:$D, MATCH(1, (H420 &gt;= $B:$B) * (H420 &lt;= $C:$C), 0))</f>
        <v>8</v>
      </c>
      <c r="H420" s="28">
        <v>46045</v>
      </c>
      <c r="I420" s="29" t="s">
        <v>24</v>
      </c>
      <c r="J420" s="29">
        <v>1</v>
      </c>
      <c r="K420" s="30" t="s">
        <v>265</v>
      </c>
      <c r="M420" s="43" t="str">
        <v>apply</v>
      </c>
      <c r="N420" s="43" t="str">
        <f t="shared" si="31"/>
        <v>*app*</v>
      </c>
      <c r="O420" s="43" t="str">
        <v>*final*</v>
      </c>
      <c r="P420" s="43">
        <f t="shared" si="32"/>
        <v>35</v>
      </c>
      <c r="Q420" s="43" t="str">
        <v>*common*</v>
      </c>
      <c r="R420" s="43">
        <v>2</v>
      </c>
      <c r="S420" s="43">
        <f t="shared" si="33"/>
        <v>2.65</v>
      </c>
      <c r="T420" s="43">
        <f t="shared" si="34"/>
        <v>1</v>
      </c>
    </row>
    <row r="421" spans="7:20">
      <c r="G421" s="27" cm="1">
        <f t="array" ref="G421">INDEX($D:$D, MATCH(1, (H421 &gt;= $B:$B) * (H421 &lt;= $C:$C), 0))</f>
        <v>8</v>
      </c>
      <c r="H421" s="28">
        <v>46047</v>
      </c>
      <c r="I421" s="29" t="s">
        <v>24</v>
      </c>
      <c r="J421" s="29">
        <v>6</v>
      </c>
      <c r="K421" s="30" t="s">
        <v>266</v>
      </c>
      <c r="M421" s="43" t="str">
        <v>certain</v>
      </c>
      <c r="N421" s="43" t="str">
        <f t="shared" si="31"/>
        <v>*certain*</v>
      </c>
      <c r="O421" s="43" t="str">
        <v>*boat*</v>
      </c>
      <c r="P421" s="43">
        <f t="shared" si="32"/>
        <v>3</v>
      </c>
      <c r="Q421" s="43" t="str">
        <v>*trail*</v>
      </c>
      <c r="R421" s="43">
        <v>2</v>
      </c>
      <c r="S421" s="43">
        <f t="shared" si="33"/>
        <v>2.65</v>
      </c>
      <c r="T421" s="43">
        <f t="shared" si="34"/>
        <v>1</v>
      </c>
    </row>
    <row r="422" spans="7:20">
      <c r="G422" s="27" cm="1">
        <f t="array" ref="G422">INDEX($D:$D, MATCH(1, (H422 &gt;= $B:$B) * (H422 &lt;= $C:$C), 0))</f>
        <v>8</v>
      </c>
      <c r="H422" s="28">
        <v>46048</v>
      </c>
      <c r="I422" s="29" t="s">
        <v>24</v>
      </c>
      <c r="J422" s="29">
        <v>5</v>
      </c>
      <c r="K422" s="30" t="s">
        <v>266</v>
      </c>
      <c r="M422" s="43" t="str">
        <v>Restore</v>
      </c>
      <c r="N422" s="43" t="str">
        <f t="shared" si="31"/>
        <v>*restore*</v>
      </c>
      <c r="O422" s="43" t="str">
        <v>*ironed*</v>
      </c>
      <c r="P422" s="43">
        <f t="shared" si="32"/>
        <v>1</v>
      </c>
      <c r="Q422" s="43" t="str">
        <v>*user*</v>
      </c>
      <c r="R422" s="43">
        <v>2</v>
      </c>
      <c r="S422" s="43">
        <f t="shared" si="33"/>
        <v>2.65</v>
      </c>
      <c r="T422" s="43">
        <f t="shared" si="34"/>
        <v>1</v>
      </c>
    </row>
    <row r="423" spans="7:20">
      <c r="G423" s="27" cm="1">
        <f t="array" ref="G423">INDEX($D:$D, MATCH(1, (H423 &gt;= $B:$B) * (H423 &lt;= $C:$C), 0))</f>
        <v>8</v>
      </c>
      <c r="H423" s="28">
        <v>46048</v>
      </c>
      <c r="I423" s="29" t="s">
        <v>34</v>
      </c>
      <c r="J423" s="29">
        <v>6</v>
      </c>
      <c r="K423" s="30" t="s">
        <v>267</v>
      </c>
      <c r="M423" s="43" t="str">
        <v>ocean</v>
      </c>
      <c r="N423" s="43" t="str">
        <f t="shared" si="31"/>
        <v>*ocean*</v>
      </c>
      <c r="O423" s="43" t="str">
        <v>*out*</v>
      </c>
      <c r="P423" s="43">
        <f t="shared" si="32"/>
        <v>14</v>
      </c>
      <c r="Q423" s="43" t="str">
        <v>*files*</v>
      </c>
      <c r="R423" s="43">
        <v>2</v>
      </c>
      <c r="S423" s="43">
        <f t="shared" si="33"/>
        <v>2.65</v>
      </c>
      <c r="T423" s="43">
        <f t="shared" si="34"/>
        <v>1</v>
      </c>
    </row>
    <row r="424" spans="7:20">
      <c r="G424" s="27" cm="1">
        <f t="array" ref="G424">INDEX($D:$D, MATCH(1, (H424 &gt;= $B:$B) * (H424 &lt;= $C:$C), 0))</f>
        <v>8</v>
      </c>
      <c r="H424" s="28">
        <v>46046</v>
      </c>
      <c r="I424" s="29" t="s">
        <v>78</v>
      </c>
      <c r="J424" s="29">
        <v>1</v>
      </c>
      <c r="K424" s="30" t="s">
        <v>268</v>
      </c>
      <c r="M424" s="43" t="str">
        <v>in-game</v>
      </c>
      <c r="N424" s="43" t="str">
        <f t="shared" si="31"/>
        <v>*ingame*</v>
      </c>
      <c r="O424" s="43" t="str">
        <v>*open*</v>
      </c>
      <c r="P424" s="43">
        <f t="shared" si="32"/>
        <v>3</v>
      </c>
      <c r="Q424" s="43" t="str">
        <v>*moved*</v>
      </c>
      <c r="R424" s="43">
        <v>2</v>
      </c>
      <c r="S424" s="43">
        <f t="shared" si="33"/>
        <v>2.65</v>
      </c>
      <c r="T424" s="43">
        <f t="shared" si="34"/>
        <v>1</v>
      </c>
    </row>
    <row r="425" spans="7:20">
      <c r="G425" s="27" cm="1">
        <f t="array" ref="G425">INDEX($D:$D, MATCH(1, (H425 &gt;= $B:$B) * (H425 &lt;= $C:$C), 0))</f>
        <v>8</v>
      </c>
      <c r="H425" s="28">
        <v>46046</v>
      </c>
      <c r="I425" s="29" t="s">
        <v>26</v>
      </c>
      <c r="J425" s="29">
        <v>1</v>
      </c>
      <c r="K425" s="30" t="s">
        <v>269</v>
      </c>
      <c r="M425" s="43" t="str">
        <v>shirts</v>
      </c>
      <c r="N425" s="43" t="str">
        <f t="shared" si="31"/>
        <v>*shirts*</v>
      </c>
      <c r="O425" s="43" t="str">
        <v>*practic*</v>
      </c>
      <c r="P425" s="43">
        <f t="shared" si="32"/>
        <v>39</v>
      </c>
      <c r="Q425" s="43" t="str">
        <v>*features*</v>
      </c>
      <c r="R425" s="43">
        <v>2</v>
      </c>
      <c r="S425" s="43">
        <f t="shared" si="33"/>
        <v>2.65</v>
      </c>
      <c r="T425" s="43">
        <f t="shared" si="34"/>
        <v>1</v>
      </c>
    </row>
    <row r="426" spans="7:20">
      <c r="G426" s="27" cm="1">
        <f t="array" ref="G426">INDEX($D:$D, MATCH(1, (H426 &gt;= $B:$B) * (H426 &lt;= $C:$C), 0))</f>
        <v>8</v>
      </c>
      <c r="H426" s="28">
        <v>46047</v>
      </c>
      <c r="I426" s="29" t="s">
        <v>78</v>
      </c>
      <c r="J426" s="29">
        <v>2</v>
      </c>
      <c r="K426" s="30" t="s">
        <v>270</v>
      </c>
      <c r="M426" s="43" t="str">
        <v>ambient</v>
      </c>
      <c r="N426" s="43" t="str">
        <f t="shared" si="31"/>
        <v>*ambient*</v>
      </c>
      <c r="O426" s="43" t="str">
        <v>*improv*</v>
      </c>
      <c r="P426" s="43">
        <f t="shared" si="32"/>
        <v>4</v>
      </c>
      <c r="Q426" s="43" t="str">
        <v>*debugg*</v>
      </c>
      <c r="R426" s="43">
        <v>2</v>
      </c>
      <c r="S426" s="43">
        <f t="shared" si="33"/>
        <v>2.65</v>
      </c>
      <c r="T426" s="43">
        <f t="shared" si="34"/>
        <v>1</v>
      </c>
    </row>
    <row r="427" spans="7:20">
      <c r="G427" s="27" cm="1">
        <f t="array" ref="G427">INDEX($D:$D, MATCH(1, (H427 &gt;= $B:$B) * (H427 &lt;= $C:$C), 0))</f>
        <v>8</v>
      </c>
      <c r="H427" s="28">
        <v>46048</v>
      </c>
      <c r="I427" s="29" t="s">
        <v>16</v>
      </c>
      <c r="J427" s="29">
        <v>1</v>
      </c>
      <c r="K427" s="30" t="s">
        <v>271</v>
      </c>
      <c r="M427" s="43" t="str">
        <v>music,</v>
      </c>
      <c r="N427" s="43" t="str">
        <f t="shared" si="31"/>
        <v>*music*</v>
      </c>
      <c r="O427" s="43" t="str">
        <v>*footprints*</v>
      </c>
      <c r="P427" s="43">
        <f t="shared" si="32"/>
        <v>1</v>
      </c>
      <c r="Q427" s="43" t="str">
        <v>*display*</v>
      </c>
      <c r="R427" s="43">
        <v>2</v>
      </c>
      <c r="S427" s="43">
        <f t="shared" si="33"/>
        <v>2.65</v>
      </c>
      <c r="T427" s="43">
        <f t="shared" si="34"/>
        <v>1</v>
      </c>
    </row>
    <row r="428" spans="7:20">
      <c r="G428" s="27" cm="1">
        <f t="array" ref="G428">INDEX($D:$D, MATCH(1, (H428 &gt;= $B:$B) * (H428 &lt;= $C:$C), 0))</f>
        <v>8</v>
      </c>
      <c r="H428" s="28">
        <v>46048</v>
      </c>
      <c r="I428" s="29" t="s">
        <v>78</v>
      </c>
      <c r="J428" s="29">
        <v>1</v>
      </c>
      <c r="K428" s="30" t="s">
        <v>271</v>
      </c>
      <c r="M428" s="43" t="str">
        <v>daylight</v>
      </c>
      <c r="N428" s="43" t="str">
        <f t="shared" si="31"/>
        <v>*daylight*</v>
      </c>
      <c r="O428" s="43" t="str">
        <v>*submission*</v>
      </c>
      <c r="P428" s="43">
        <f t="shared" si="32"/>
        <v>1</v>
      </c>
      <c r="Q428" s="43" t="str">
        <v>*show*</v>
      </c>
      <c r="R428" s="43">
        <v>2</v>
      </c>
      <c r="S428" s="43">
        <f t="shared" si="33"/>
        <v>2.65</v>
      </c>
      <c r="T428" s="43">
        <f t="shared" si="34"/>
        <v>1</v>
      </c>
    </row>
    <row r="429" spans="7:20">
      <c r="G429" s="27" cm="1">
        <f t="array" ref="G429">INDEX($D:$D, MATCH(1, (H429 &gt;= $B:$B) * (H429 &lt;= $C:$C), 0))</f>
        <v>8</v>
      </c>
      <c r="H429" s="28">
        <v>46048</v>
      </c>
      <c r="I429" s="29" t="s">
        <v>34</v>
      </c>
      <c r="J429" s="29">
        <v>1</v>
      </c>
      <c r="K429" s="30" t="s">
        <v>271</v>
      </c>
      <c r="M429" s="43" t="str">
        <v>cycle,</v>
      </c>
      <c r="N429" s="43" t="str">
        <f t="shared" si="31"/>
        <v>*cycle*</v>
      </c>
      <c r="O429" s="43" t="str">
        <v>*khakis*</v>
      </c>
      <c r="P429" s="43">
        <f t="shared" si="32"/>
        <v>1</v>
      </c>
      <c r="Q429" s="43" t="str">
        <v>*c++*</v>
      </c>
      <c r="R429" s="43">
        <v>2</v>
      </c>
      <c r="S429" s="43">
        <f t="shared" si="33"/>
        <v>2.65</v>
      </c>
      <c r="T429" s="43">
        <f t="shared" si="34"/>
        <v>1</v>
      </c>
    </row>
    <row r="430" spans="7:20">
      <c r="G430" s="27" cm="1">
        <f t="array" ref="G430">INDEX($D:$D, MATCH(1, (H430 &gt;= $B:$B) * (H430 &lt;= $C:$C), 0))</f>
        <v>8</v>
      </c>
      <c r="H430" s="28">
        <v>46048</v>
      </c>
      <c r="I430" s="29" t="s">
        <v>24</v>
      </c>
      <c r="J430" s="29">
        <v>1</v>
      </c>
      <c r="K430" s="30" t="s">
        <v>271</v>
      </c>
      <c r="M430" s="43" t="str">
        <v>near</v>
      </c>
      <c r="N430" s="43" t="str">
        <f t="shared" si="31"/>
        <v>*near*</v>
      </c>
      <c r="O430" s="43" t="str">
        <v>*group*</v>
      </c>
      <c r="P430" s="43">
        <f t="shared" si="32"/>
        <v>2</v>
      </c>
      <c r="Q430" s="43" t="str">
        <v>*class*</v>
      </c>
      <c r="R430" s="43">
        <v>2</v>
      </c>
      <c r="S430" s="43">
        <f t="shared" si="33"/>
        <v>2.65</v>
      </c>
      <c r="T430" s="43">
        <f t="shared" si="34"/>
        <v>1</v>
      </c>
    </row>
    <row r="431" spans="7:20">
      <c r="G431" s="27" cm="1">
        <f t="array" ref="G431">INDEX($D:$D, MATCH(1, (H431 &gt;= $B:$B) * (H431 &lt;= $C:$C), 0))</f>
        <v>8</v>
      </c>
      <c r="H431" s="28">
        <v>46048</v>
      </c>
      <c r="I431" s="29" t="s">
        <v>26</v>
      </c>
      <c r="J431" s="29">
        <v>1</v>
      </c>
      <c r="K431" s="30" t="s">
        <v>271</v>
      </c>
      <c r="M431" s="43" t="str">
        <v>entrance</v>
      </c>
      <c r="N431" s="43" t="str">
        <f t="shared" si="31"/>
        <v>*entrance*</v>
      </c>
      <c r="O431" s="43" t="str">
        <v>*night*</v>
      </c>
      <c r="P431" s="43">
        <f t="shared" si="32"/>
        <v>2</v>
      </c>
      <c r="Q431" s="43" t="str">
        <v>*glow*</v>
      </c>
      <c r="R431" s="43">
        <v>2</v>
      </c>
      <c r="S431" s="43">
        <f t="shared" si="33"/>
        <v>2.65</v>
      </c>
      <c r="T431" s="43">
        <f t="shared" si="34"/>
        <v>1</v>
      </c>
    </row>
    <row r="432" spans="7:20">
      <c r="G432" s="27" cm="1">
        <f t="array" ref="G432">INDEX($D:$D, MATCH(1, (H432 &gt;= $B:$B) * (H432 &lt;= $C:$C), 0))</f>
        <v>8</v>
      </c>
      <c r="H432" s="28">
        <v>46048</v>
      </c>
      <c r="I432" s="29" t="s">
        <v>28</v>
      </c>
      <c r="J432" s="29">
        <v>1</v>
      </c>
      <c r="K432" s="30" t="s">
        <v>271</v>
      </c>
      <c r="M432" s="43" t="str">
        <v>Menus,</v>
      </c>
      <c r="N432" s="43" t="str">
        <f t="shared" si="31"/>
        <v>*menus*</v>
      </c>
      <c r="O432" s="43" t="str">
        <v>*before*</v>
      </c>
      <c r="P432" s="43">
        <f t="shared" si="32"/>
        <v>1</v>
      </c>
      <c r="Q432" s="43" t="str">
        <v>*footsteps*</v>
      </c>
      <c r="R432" s="43">
        <v>2</v>
      </c>
      <c r="S432" s="43">
        <f t="shared" si="33"/>
        <v>2.65</v>
      </c>
      <c r="T432" s="43">
        <f t="shared" si="34"/>
        <v>1</v>
      </c>
    </row>
    <row r="433" spans="7:20">
      <c r="G433" s="27" cm="1">
        <f t="array" ref="G433">INDEX($D:$D, MATCH(1, (H433 &gt;= $B:$B) * (H433 &lt;= $C:$C), 0))</f>
        <v>8</v>
      </c>
      <c r="H433" s="28">
        <v>46048</v>
      </c>
      <c r="I433" s="29" t="s">
        <v>16</v>
      </c>
      <c r="J433" s="29">
        <v>5</v>
      </c>
      <c r="K433" s="30" t="s">
        <v>272</v>
      </c>
      <c r="M433" s="43" t="str">
        <v>Continued</v>
      </c>
      <c r="N433" s="43" t="str">
        <f t="shared" si="31"/>
        <v>*continued*</v>
      </c>
      <c r="O433" s="43" t="str">
        <v>*late*</v>
      </c>
      <c r="P433" s="43">
        <f t="shared" si="32"/>
        <v>3</v>
      </c>
      <c r="Q433" s="43" t="str">
        <v>*follow*</v>
      </c>
      <c r="R433" s="43">
        <v>2</v>
      </c>
      <c r="S433" s="43">
        <f t="shared" si="33"/>
        <v>2.65</v>
      </c>
      <c r="T433" s="43">
        <f t="shared" si="34"/>
        <v>1</v>
      </c>
    </row>
    <row r="434" spans="7:20">
      <c r="G434" s="27" cm="1">
        <f t="array" ref="G434">INDEX($D:$D, MATCH(1, (H434 &gt;= $B:$B) * (H434 &lt;= $C:$C), 0))</f>
        <v>9</v>
      </c>
      <c r="H434" s="28">
        <v>46050</v>
      </c>
      <c r="I434" s="29" t="s">
        <v>34</v>
      </c>
      <c r="J434" s="29">
        <v>6</v>
      </c>
      <c r="K434" s="30" t="s">
        <v>273</v>
      </c>
      <c r="M434" s="43" t="str">
        <v>logo,</v>
      </c>
      <c r="N434" s="43" t="str">
        <f t="shared" si="31"/>
        <v>*logo*</v>
      </c>
      <c r="O434" s="43" t="str">
        <v>*day*</v>
      </c>
      <c r="P434" s="43">
        <f t="shared" si="32"/>
        <v>11</v>
      </c>
      <c r="Q434" s="43" t="str">
        <v>*edited*</v>
      </c>
      <c r="R434" s="43">
        <v>2</v>
      </c>
      <c r="S434" s="43">
        <f t="shared" si="33"/>
        <v>2.65</v>
      </c>
      <c r="T434" s="43">
        <f t="shared" si="34"/>
        <v>1</v>
      </c>
    </row>
    <row r="435" spans="7:20">
      <c r="G435" s="27" cm="1">
        <f t="array" ref="G435">INDEX($D:$D, MATCH(1, (H435 &gt;= $B:$B) * (H435 &lt;= $C:$C), 0))</f>
        <v>9</v>
      </c>
      <c r="H435" s="28">
        <v>46050</v>
      </c>
      <c r="I435" s="29" t="s">
        <v>24</v>
      </c>
      <c r="J435" s="29">
        <v>1.5</v>
      </c>
      <c r="K435" s="30" t="s">
        <v>274</v>
      </c>
      <c r="M435" s="43" t="str">
        <v>confirmation</v>
      </c>
      <c r="N435" s="43" t="str">
        <f t="shared" si="31"/>
        <v>*confirma*</v>
      </c>
      <c r="O435" s="43" t="str">
        <v>*collabora*</v>
      </c>
      <c r="P435" s="43">
        <f t="shared" si="32"/>
        <v>2</v>
      </c>
      <c r="Q435" s="43" t="str">
        <v>*stencil*</v>
      </c>
      <c r="R435" s="43">
        <v>2</v>
      </c>
      <c r="S435" s="43">
        <f t="shared" si="33"/>
        <v>2.65</v>
      </c>
      <c r="T435" s="43">
        <f t="shared" si="34"/>
        <v>1</v>
      </c>
    </row>
    <row r="436" spans="7:20">
      <c r="G436" s="27" cm="1">
        <f t="array" ref="G436">INDEX($D:$D, MATCH(1, (H436 &gt;= $B:$B) * (H436 &lt;= $C:$C), 0))</f>
        <v>9</v>
      </c>
      <c r="H436" s="28">
        <v>46050</v>
      </c>
      <c r="I436" s="29" t="s">
        <v>16</v>
      </c>
      <c r="J436" s="29">
        <v>1.5</v>
      </c>
      <c r="K436" s="30" t="s">
        <v>274</v>
      </c>
      <c r="M436" s="43" t="str">
        <v>remapping</v>
      </c>
      <c r="N436" s="43" t="str">
        <f t="shared" si="31"/>
        <v>*remapp*</v>
      </c>
      <c r="O436" s="43" t="str">
        <v>*communica*</v>
      </c>
      <c r="P436" s="43">
        <f t="shared" si="32"/>
        <v>8</v>
      </c>
      <c r="Q436" s="43" t="str">
        <v>*ocean*</v>
      </c>
      <c r="R436" s="43">
        <v>2</v>
      </c>
      <c r="S436" s="43">
        <f t="shared" si="33"/>
        <v>2.65</v>
      </c>
      <c r="T436" s="43">
        <f t="shared" si="34"/>
        <v>1</v>
      </c>
    </row>
    <row r="437" spans="7:20">
      <c r="G437" s="27" cm="1">
        <f t="array" ref="G437">INDEX($D:$D, MATCH(1, (H437 &gt;= $B:$B) * (H437 &lt;= $C:$C), 0))</f>
        <v>9</v>
      </c>
      <c r="H437" s="28">
        <v>46050</v>
      </c>
      <c r="I437" s="29" t="s">
        <v>78</v>
      </c>
      <c r="J437" s="29">
        <v>0.75</v>
      </c>
      <c r="K437" s="30" t="s">
        <v>229</v>
      </c>
      <c r="M437" s="43" t="str">
        <v>key-binding</v>
      </c>
      <c r="N437" s="43" t="str">
        <f t="shared" si="31"/>
        <v>*keybind*</v>
      </c>
      <c r="O437" s="43" t="str">
        <v>*compar*</v>
      </c>
      <c r="P437" s="43">
        <f t="shared" si="32"/>
        <v>1</v>
      </c>
      <c r="Q437" s="43" t="str">
        <v>*ambient*</v>
      </c>
      <c r="R437" s="43">
        <v>2</v>
      </c>
      <c r="S437" s="43">
        <f t="shared" si="33"/>
        <v>2.65</v>
      </c>
      <c r="T437" s="43">
        <f t="shared" si="34"/>
        <v>1</v>
      </c>
    </row>
    <row r="438" spans="7:20">
      <c r="G438" s="27" cm="1">
        <f t="array" ref="G438">INDEX($D:$D, MATCH(1, (H438 &gt;= $B:$B) * (H438 &lt;= $C:$C), 0))</f>
        <v>9</v>
      </c>
      <c r="H438" s="28">
        <v>46050</v>
      </c>
      <c r="I438" s="29" t="s">
        <v>34</v>
      </c>
      <c r="J438" s="29">
        <v>1</v>
      </c>
      <c r="K438" s="30" t="s">
        <v>229</v>
      </c>
      <c r="M438" s="43" t="str">
        <v>in-game,</v>
      </c>
      <c r="N438" s="43" t="str">
        <f t="shared" si="31"/>
        <v>*ingame*</v>
      </c>
      <c r="O438" s="43" t="str">
        <v>*schedules*</v>
      </c>
      <c r="P438" s="43">
        <f t="shared" si="32"/>
        <v>1</v>
      </c>
      <c r="Q438" s="43" t="str">
        <v>*daylight*</v>
      </c>
      <c r="R438" s="43">
        <v>2</v>
      </c>
      <c r="S438" s="43">
        <f t="shared" si="33"/>
        <v>2.65</v>
      </c>
      <c r="T438" s="43">
        <f t="shared" si="34"/>
        <v>1</v>
      </c>
    </row>
    <row r="439" spans="7:20">
      <c r="G439" s="27" cm="1">
        <f t="array" ref="G439">INDEX($D:$D, MATCH(1, (H439 &gt;= $B:$B) * (H439 &lt;= $C:$C), 0))</f>
        <v>9</v>
      </c>
      <c r="H439" s="28">
        <v>46050</v>
      </c>
      <c r="I439" s="29" t="s">
        <v>26</v>
      </c>
      <c r="J439" s="29">
        <v>1</v>
      </c>
      <c r="K439" s="30" t="s">
        <v>229</v>
      </c>
      <c r="M439" s="43" t="str">
        <v>needs</v>
      </c>
      <c r="N439" s="43" t="str">
        <f t="shared" si="31"/>
        <v>*needs*</v>
      </c>
      <c r="O439" s="43" t="str">
        <v>*next*</v>
      </c>
      <c r="P439" s="43">
        <f t="shared" si="32"/>
        <v>1</v>
      </c>
      <c r="Q439" s="43" t="str">
        <v>*near*</v>
      </c>
      <c r="R439" s="43">
        <v>2</v>
      </c>
      <c r="S439" s="43">
        <f t="shared" si="33"/>
        <v>2.65</v>
      </c>
      <c r="T439" s="43">
        <f t="shared" si="34"/>
        <v>1</v>
      </c>
    </row>
    <row r="440" spans="7:20">
      <c r="G440" s="27" cm="1">
        <f t="array" ref="G440">INDEX($D:$D, MATCH(1, (H440 &gt;= $B:$B) * (H440 &lt;= $C:$C), 0))</f>
        <v>9</v>
      </c>
      <c r="H440" s="28">
        <v>46050</v>
      </c>
      <c r="I440" s="29" t="s">
        <v>28</v>
      </c>
      <c r="J440" s="29">
        <v>1</v>
      </c>
      <c r="K440" s="30" t="s">
        <v>229</v>
      </c>
      <c r="M440" s="43" t="str">
        <v>cleaning</v>
      </c>
      <c r="N440" s="43" t="str">
        <f t="shared" ref="N440:N503" si="35">_xlfn.CONCAT("*",TRIM(CLEAN(_xlfn.REGEXREPLACE(LOWER($M440),$N$51,""))),"*")</f>
        <v>*clean*</v>
      </c>
      <c r="O440" s="43" t="str">
        <v>*semester*</v>
      </c>
      <c r="P440" s="43">
        <f t="shared" ref="P440:P503" si="36">COUNTIF($K$5:$K$1000,$O440)</f>
        <v>2</v>
      </c>
      <c r="Q440" s="43" t="str">
        <v>*keybind*</v>
      </c>
      <c r="R440" s="43">
        <v>2</v>
      </c>
      <c r="S440" s="43">
        <f t="shared" ref="S440:S503" si="37">ROUND(LOG(COUNTA($M$54:$M$1000)/R440,10),2)</f>
        <v>2.65</v>
      </c>
      <c r="T440" s="43">
        <f t="shared" si="34"/>
        <v>1</v>
      </c>
    </row>
    <row r="441" spans="7:20">
      <c r="G441" s="27" cm="1">
        <f t="array" ref="G441">INDEX($D:$D, MATCH(1, (H441 &gt;= $B:$B) * (H441 &lt;= $C:$C), 0))</f>
        <v>9</v>
      </c>
      <c r="H441" s="28">
        <v>46051</v>
      </c>
      <c r="I441" s="29" t="s">
        <v>28</v>
      </c>
      <c r="J441" s="29">
        <v>2</v>
      </c>
      <c r="K441" s="30" t="s">
        <v>275</v>
      </c>
      <c r="M441" s="43" t="str">
        <v>correction</v>
      </c>
      <c r="N441" s="43" t="str">
        <f t="shared" si="35"/>
        <v>*correc*</v>
      </c>
      <c r="O441" s="43" t="str">
        <v>*renam*</v>
      </c>
      <c r="P441" s="43">
        <f t="shared" si="36"/>
        <v>1</v>
      </c>
      <c r="Q441" s="43" t="str">
        <v>*warn*</v>
      </c>
      <c r="R441" s="43">
        <v>2</v>
      </c>
      <c r="S441" s="43">
        <f t="shared" si="37"/>
        <v>2.65</v>
      </c>
      <c r="T441" s="43">
        <f t="shared" ref="T441:T504" si="38">ROUND($S441/$S440,2)</f>
        <v>1</v>
      </c>
    </row>
    <row r="442" spans="7:20">
      <c r="G442" s="27" cm="1">
        <f t="array" ref="G442">INDEX($D:$D, MATCH(1, (H442 &gt;= $B:$B) * (H442 &lt;= $C:$C), 0))</f>
        <v>9</v>
      </c>
      <c r="H442" s="28">
        <v>46052</v>
      </c>
      <c r="I442" s="29" t="s">
        <v>78</v>
      </c>
      <c r="J442" s="29">
        <v>1</v>
      </c>
      <c r="K442" s="30" t="s">
        <v>276</v>
      </c>
      <c r="M442" s="43" t="str">
        <v>cutscene</v>
      </c>
      <c r="N442" s="43" t="str">
        <f t="shared" si="35"/>
        <v>*cutscene*</v>
      </c>
      <c r="O442" s="43" t="str">
        <v>*reorganiz*</v>
      </c>
      <c r="P442" s="43">
        <f t="shared" si="36"/>
        <v>3</v>
      </c>
      <c r="Q442" s="43" t="str">
        <v>*most*</v>
      </c>
      <c r="R442" s="43">
        <v>2</v>
      </c>
      <c r="S442" s="43">
        <f t="shared" si="37"/>
        <v>2.65</v>
      </c>
      <c r="T442" s="43">
        <f t="shared" si="38"/>
        <v>1</v>
      </c>
    </row>
    <row r="443" spans="7:20">
      <c r="G443" s="27" cm="1">
        <f t="array" ref="G443">INDEX($D:$D, MATCH(1, (H443 &gt;= $B:$B) * (H443 &lt;= $C:$C), 0))</f>
        <v>9</v>
      </c>
      <c r="H443" s="28">
        <v>46052</v>
      </c>
      <c r="I443" s="29" t="s">
        <v>16</v>
      </c>
      <c r="J443" s="29">
        <v>3</v>
      </c>
      <c r="K443" s="30" t="s">
        <v>277</v>
      </c>
      <c r="M443" s="43" t="str">
        <v>Finding</v>
      </c>
      <c r="N443" s="43" t="str">
        <f t="shared" si="35"/>
        <v>*find*</v>
      </c>
      <c r="O443" s="43" t="str">
        <v>*schedul*</v>
      </c>
      <c r="P443" s="43">
        <f t="shared" si="36"/>
        <v>2</v>
      </c>
      <c r="Q443" s="43" t="str">
        <v>*keybinds*</v>
      </c>
      <c r="R443" s="43">
        <v>2</v>
      </c>
      <c r="S443" s="43">
        <f t="shared" si="37"/>
        <v>2.65</v>
      </c>
      <c r="T443" s="43">
        <f t="shared" si="38"/>
        <v>1</v>
      </c>
    </row>
    <row r="444" spans="7:20">
      <c r="G444" s="27" cm="1">
        <f t="array" ref="G444">INDEX($D:$D, MATCH(1, (H444 &gt;= $B:$B) * (H444 &lt;= $C:$C), 0))</f>
        <v>9</v>
      </c>
      <c r="H444" s="28">
        <v>46054</v>
      </c>
      <c r="I444" s="29" t="s">
        <v>26</v>
      </c>
      <c r="J444" s="29">
        <v>2</v>
      </c>
      <c r="K444" s="30" t="s">
        <v>278</v>
      </c>
      <c r="M444" s="43" t="str">
        <v>warning</v>
      </c>
      <c r="N444" s="43" t="str">
        <f t="shared" si="35"/>
        <v>*warn*</v>
      </c>
      <c r="O444" s="43" t="str">
        <v>*first*</v>
      </c>
      <c r="P444" s="43">
        <f t="shared" si="36"/>
        <v>7</v>
      </c>
      <c r="Q444" s="43" t="str">
        <v>*group*</v>
      </c>
      <c r="R444" s="43">
        <v>2</v>
      </c>
      <c r="S444" s="43">
        <f t="shared" si="37"/>
        <v>2.65</v>
      </c>
      <c r="T444" s="43">
        <f t="shared" si="38"/>
        <v>1</v>
      </c>
    </row>
    <row r="445" spans="7:20">
      <c r="G445" s="27" cm="1">
        <f t="array" ref="G445">INDEX($D:$D, MATCH(1, (H445 &gt;= $B:$B) * (H445 &lt;= $C:$C), 0))</f>
        <v>9</v>
      </c>
      <c r="H445" s="57">
        <v>46054</v>
      </c>
      <c r="I445" s="29" t="s">
        <v>24</v>
      </c>
      <c r="J445" s="29">
        <v>6</v>
      </c>
      <c r="K445" s="30" t="s">
        <v>266</v>
      </c>
      <c r="M445" s="43" t="str">
        <v>them</v>
      </c>
      <c r="N445" s="43" t="str">
        <f t="shared" si="35"/>
        <v>*them*</v>
      </c>
      <c r="O445" s="43" t="str">
        <v>*emma*</v>
      </c>
      <c r="P445" s="43">
        <f t="shared" si="36"/>
        <v>5</v>
      </c>
      <c r="Q445" s="43" t="str">
        <v>*night*</v>
      </c>
      <c r="R445" s="43">
        <v>2</v>
      </c>
      <c r="S445" s="43">
        <f t="shared" si="37"/>
        <v>2.65</v>
      </c>
      <c r="T445" s="43">
        <f t="shared" si="38"/>
        <v>1</v>
      </c>
    </row>
    <row r="446" spans="7:20">
      <c r="G446" s="27" cm="1">
        <f t="array" ref="G446">INDEX($D:$D, MATCH(1, (H446 &gt;= $B:$B) * (H446 &lt;= $C:$C), 0))</f>
        <v>9</v>
      </c>
      <c r="H446" s="28">
        <v>46054</v>
      </c>
      <c r="I446" s="29" t="s">
        <v>78</v>
      </c>
      <c r="J446" s="29">
        <v>1</v>
      </c>
      <c r="K446" s="30" t="s">
        <v>279</v>
      </c>
      <c r="M446" s="43" t="str">
        <v>attempting</v>
      </c>
      <c r="N446" s="43" t="str">
        <f t="shared" si="35"/>
        <v>*attempt*</v>
      </c>
      <c r="O446" s="43" t="str">
        <v>*capstone*</v>
      </c>
      <c r="P446" s="43">
        <f t="shared" si="36"/>
        <v>16</v>
      </c>
      <c r="Q446" s="43" t="str">
        <v>*collabora*</v>
      </c>
      <c r="R446" s="43">
        <v>2</v>
      </c>
      <c r="S446" s="43">
        <f t="shared" si="37"/>
        <v>2.65</v>
      </c>
      <c r="T446" s="43">
        <f t="shared" si="38"/>
        <v>1</v>
      </c>
    </row>
    <row r="447" spans="7:20" ht="30">
      <c r="G447" s="27" cm="1">
        <f t="array" ref="G447">INDEX($D:$D, MATCH(1, (H447 &gt;= $B:$B) * (H447 &lt;= $C:$C), 0))</f>
        <v>9</v>
      </c>
      <c r="H447" s="28">
        <v>46054</v>
      </c>
      <c r="I447" s="29" t="s">
        <v>16</v>
      </c>
      <c r="J447" s="29">
        <v>5</v>
      </c>
      <c r="K447" s="30" t="s">
        <v>280</v>
      </c>
      <c r="M447" s="43" t="str">
        <v>win</v>
      </c>
      <c r="N447" s="43" t="str">
        <f t="shared" si="35"/>
        <v>*win*</v>
      </c>
      <c r="O447" s="43" t="str">
        <v>*string*</v>
      </c>
      <c r="P447" s="43">
        <f t="shared" si="36"/>
        <v>26</v>
      </c>
      <c r="Q447" s="43" t="str">
        <v>*semester*</v>
      </c>
      <c r="R447" s="43">
        <v>2</v>
      </c>
      <c r="S447" s="43">
        <f t="shared" si="37"/>
        <v>2.65</v>
      </c>
      <c r="T447" s="43">
        <f t="shared" si="38"/>
        <v>1</v>
      </c>
    </row>
    <row r="448" spans="7:20">
      <c r="G448" s="27" cm="1">
        <f t="array" ref="G448">INDEX($D:$D, MATCH(1, (H448 &gt;= $B:$B) * (H448 &lt;= $C:$C), 0))</f>
        <v>9</v>
      </c>
      <c r="H448" s="28">
        <v>46054</v>
      </c>
      <c r="I448" s="29" t="s">
        <v>28</v>
      </c>
      <c r="J448" s="29">
        <v>2</v>
      </c>
      <c r="K448" s="30" t="s">
        <v>281</v>
      </c>
      <c r="M448" s="43" t="str">
        <v>event</v>
      </c>
      <c r="N448" s="43" t="str">
        <f t="shared" si="35"/>
        <v>*event*</v>
      </c>
      <c r="O448" s="43" t="str">
        <v>*decals*</v>
      </c>
      <c r="P448" s="43">
        <f t="shared" si="36"/>
        <v>1</v>
      </c>
      <c r="Q448" s="43" t="str">
        <v>*schedul*</v>
      </c>
      <c r="R448" s="43">
        <v>2</v>
      </c>
      <c r="S448" s="43">
        <f t="shared" si="37"/>
        <v>2.65</v>
      </c>
      <c r="T448" s="43">
        <f t="shared" si="38"/>
        <v>1</v>
      </c>
    </row>
    <row r="449" spans="7:20">
      <c r="G449" s="27" cm="1">
        <f t="array" ref="G449">INDEX($D:$D, MATCH(1, (H449 &gt;= $B:$B) * (H449 &lt;= $C:$C), 0))</f>
        <v>9</v>
      </c>
      <c r="H449" s="28">
        <v>46055</v>
      </c>
      <c r="I449" s="29" t="s">
        <v>26</v>
      </c>
      <c r="J449" s="29">
        <v>2</v>
      </c>
      <c r="K449" s="30" t="s">
        <v>282</v>
      </c>
      <c r="M449" s="43" t="str">
        <v>too</v>
      </c>
      <c r="N449" s="43" t="str">
        <f t="shared" si="35"/>
        <v>*too*</v>
      </c>
      <c r="O449" s="43" t="str">
        <v>*redesign*</v>
      </c>
      <c r="P449" s="43">
        <f t="shared" si="36"/>
        <v>1</v>
      </c>
      <c r="Q449" s="43" t="str">
        <v>*rework*</v>
      </c>
      <c r="R449" s="43">
        <v>2</v>
      </c>
      <c r="S449" s="43">
        <f t="shared" si="37"/>
        <v>2.65</v>
      </c>
      <c r="T449" s="43">
        <f t="shared" si="38"/>
        <v>1</v>
      </c>
    </row>
    <row r="450" spans="7:20">
      <c r="G450" s="27" cm="1">
        <f t="array" ref="G450">INDEX($D:$D, MATCH(1, (H450 &gt;= $B:$B) * (H450 &lt;= $C:$C), 0))</f>
        <v>9</v>
      </c>
      <c r="H450" s="28">
        <v>46055</v>
      </c>
      <c r="I450" s="29" t="s">
        <v>78</v>
      </c>
      <c r="J450" s="29">
        <v>2.5</v>
      </c>
      <c r="K450" s="30" t="s">
        <v>283</v>
      </c>
      <c r="M450" s="43" t="str">
        <v>ovals</v>
      </c>
      <c r="N450" s="43" t="str">
        <f t="shared" si="35"/>
        <v>*ovals*</v>
      </c>
      <c r="O450" s="43" t="str">
        <v>*rework*</v>
      </c>
      <c r="P450" s="43">
        <f t="shared" si="36"/>
        <v>2</v>
      </c>
      <c r="Q450" s="43" t="str">
        <v>*sec*</v>
      </c>
      <c r="R450" s="43">
        <v>2</v>
      </c>
      <c r="S450" s="43">
        <f t="shared" si="37"/>
        <v>2.65</v>
      </c>
      <c r="T450" s="43">
        <f t="shared" si="38"/>
        <v>1</v>
      </c>
    </row>
    <row r="451" spans="7:20">
      <c r="G451" s="27" cm="1">
        <f t="array" ref="G451">INDEX($D:$D, MATCH(1, (H451 &gt;= $B:$B) * (H451 &lt;= $C:$C), 0))</f>
        <v>9</v>
      </c>
      <c r="H451" s="28">
        <v>46055</v>
      </c>
      <c r="I451" s="29" t="s">
        <v>34</v>
      </c>
      <c r="J451" s="29">
        <v>6</v>
      </c>
      <c r="K451" s="30" t="s">
        <v>284</v>
      </c>
      <c r="M451" s="43" t="str">
        <v>greyscale</v>
      </c>
      <c r="N451" s="43" t="str">
        <f t="shared" si="35"/>
        <v>*greyscale*</v>
      </c>
      <c r="O451" s="43" t="str">
        <v>*stack*</v>
      </c>
      <c r="P451" s="43">
        <f t="shared" si="36"/>
        <v>1</v>
      </c>
      <c r="Q451" s="43" t="str">
        <v>*pickup*</v>
      </c>
      <c r="R451" s="43">
        <v>2</v>
      </c>
      <c r="S451" s="43">
        <f t="shared" si="37"/>
        <v>2.65</v>
      </c>
      <c r="T451" s="43">
        <f t="shared" si="38"/>
        <v>1</v>
      </c>
    </row>
    <row r="452" spans="7:20">
      <c r="G452" s="27" cm="1">
        <f t="array" ref="G452">INDEX($D:$D, MATCH(1, (H452 &gt;= $B:$B) * (H452 &lt;= $C:$C), 0))</f>
        <v>9</v>
      </c>
      <c r="H452" s="28">
        <v>46055</v>
      </c>
      <c r="I452" s="29" t="s">
        <v>24</v>
      </c>
      <c r="J452" s="29">
        <v>2</v>
      </c>
      <c r="K452" s="30" t="s">
        <v>285</v>
      </c>
      <c r="M452" s="43" t="str">
        <v>titlescreen</v>
      </c>
      <c r="N452" s="43" t="str">
        <f t="shared" si="35"/>
        <v>*titlescreen*</v>
      </c>
      <c r="O452" s="43" t="str">
        <v>*controllers*</v>
      </c>
      <c r="P452" s="43">
        <f t="shared" si="36"/>
        <v>1</v>
      </c>
      <c r="Q452" s="43" t="str">
        <v>*fail*</v>
      </c>
      <c r="R452" s="43">
        <v>2</v>
      </c>
      <c r="S452" s="43">
        <f t="shared" si="37"/>
        <v>2.65</v>
      </c>
      <c r="T452" s="43">
        <f t="shared" si="38"/>
        <v>1</v>
      </c>
    </row>
    <row r="453" spans="7:20">
      <c r="G453" s="27" cm="1">
        <f t="array" ref="G453">INDEX($D:$D, MATCH(1, (H453 &gt;= $B:$B) * (H453 &lt;= $C:$C), 0))</f>
        <v>9</v>
      </c>
      <c r="H453" s="28">
        <v>46055</v>
      </c>
      <c r="I453" s="29" t="s">
        <v>28</v>
      </c>
      <c r="J453" s="29">
        <v>2</v>
      </c>
      <c r="K453" s="30" t="s">
        <v>286</v>
      </c>
      <c r="M453" s="43" t="str">
        <v>Menus</v>
      </c>
      <c r="N453" s="43" t="str">
        <f t="shared" si="35"/>
        <v>*menus*</v>
      </c>
      <c r="O453" s="43" t="str">
        <v>*use*</v>
      </c>
      <c r="P453" s="43">
        <f t="shared" si="36"/>
        <v>8</v>
      </c>
      <c r="Q453" s="43" t="str">
        <v>*made*</v>
      </c>
      <c r="R453" s="43">
        <v>2</v>
      </c>
      <c r="S453" s="43">
        <f t="shared" si="37"/>
        <v>2.65</v>
      </c>
      <c r="T453" s="43">
        <f t="shared" si="38"/>
        <v>1</v>
      </c>
    </row>
    <row r="454" spans="7:20">
      <c r="G454" s="27" cm="1">
        <f t="array" ref="G454">INDEX($D:$D, MATCH(1, (H454 &gt;= $B:$B) * (H454 &lt;= $C:$C), 0))</f>
        <v>9</v>
      </c>
      <c r="H454" s="28">
        <v>46056</v>
      </c>
      <c r="I454" s="29" t="s">
        <v>26</v>
      </c>
      <c r="J454" s="29">
        <v>4</v>
      </c>
      <c r="K454" s="30" t="s">
        <v>287</v>
      </c>
      <c r="M454" s="43" t="str">
        <v>Finals</v>
      </c>
      <c r="N454" s="43" t="str">
        <f t="shared" si="35"/>
        <v>*finals*</v>
      </c>
      <c r="O454" s="43" t="str">
        <v>*controller*</v>
      </c>
      <c r="P454" s="43">
        <f t="shared" si="36"/>
        <v>3</v>
      </c>
      <c r="Q454" s="43" t="str">
        <v>*confirm*</v>
      </c>
      <c r="R454" s="43">
        <v>2</v>
      </c>
      <c r="S454" s="43">
        <f t="shared" si="37"/>
        <v>2.65</v>
      </c>
      <c r="T454" s="43">
        <f t="shared" si="38"/>
        <v>1</v>
      </c>
    </row>
    <row r="455" spans="7:20">
      <c r="G455" s="27" cm="1">
        <f t="array" ref="G455">INDEX($D:$D, MATCH(1, (H455 &gt;= $B:$B) * (H455 &lt;= $C:$C), 0))</f>
        <v>9</v>
      </c>
      <c r="H455" s="28">
        <v>46056</v>
      </c>
      <c r="I455" s="29" t="s">
        <v>78</v>
      </c>
      <c r="J455" s="29">
        <v>2</v>
      </c>
      <c r="K455" s="30" t="s">
        <v>288</v>
      </c>
      <c r="M455" s="43" t="str">
        <v>Showcase</v>
      </c>
      <c r="N455" s="43" t="str">
        <f t="shared" si="35"/>
        <v>*showcase*</v>
      </c>
      <c r="O455" s="43" t="str">
        <v>*modular*</v>
      </c>
      <c r="P455" s="43">
        <f t="shared" si="36"/>
        <v>1</v>
      </c>
      <c r="Q455" s="43" t="str">
        <v>*ful*</v>
      </c>
      <c r="R455" s="43">
        <v>2</v>
      </c>
      <c r="S455" s="43">
        <f t="shared" si="37"/>
        <v>2.65</v>
      </c>
      <c r="T455" s="43">
        <f t="shared" si="38"/>
        <v>1</v>
      </c>
    </row>
    <row r="456" spans="7:20">
      <c r="G456" s="27" cm="1">
        <f t="array" ref="G456">INDEX($D:$D, MATCH(1, (H456 &gt;= $B:$B) * (H456 &lt;= $C:$C), 0))</f>
        <v>9</v>
      </c>
      <c r="H456" s="28">
        <v>46057</v>
      </c>
      <c r="I456" s="29" t="s">
        <v>26</v>
      </c>
      <c r="J456" s="29">
        <v>3</v>
      </c>
      <c r="K456" s="30" t="s">
        <v>289</v>
      </c>
      <c r="M456" s="43" t="str">
        <v>(mostly),</v>
      </c>
      <c r="N456" s="43" t="str">
        <f t="shared" si="35"/>
        <v>*most*</v>
      </c>
      <c r="O456" s="43" t="str">
        <v>*camera*</v>
      </c>
      <c r="P456" s="43">
        <f t="shared" si="36"/>
        <v>10</v>
      </c>
      <c r="Q456" s="43" t="str">
        <v>*works*</v>
      </c>
      <c r="R456" s="43">
        <v>2</v>
      </c>
      <c r="S456" s="43">
        <f t="shared" si="37"/>
        <v>2.65</v>
      </c>
      <c r="T456" s="43">
        <f t="shared" si="38"/>
        <v>1</v>
      </c>
    </row>
    <row r="457" spans="7:20">
      <c r="G457" s="27" cm="1">
        <f t="array" ref="G457">INDEX($D:$D, MATCH(1, (H457 &gt;= $B:$B) * (H457 &lt;= $C:$C), 0))</f>
        <v>9</v>
      </c>
      <c r="H457" s="28">
        <v>46057</v>
      </c>
      <c r="I457" s="29" t="s">
        <v>24</v>
      </c>
      <c r="J457" s="29">
        <v>3</v>
      </c>
      <c r="K457" s="30" t="s">
        <v>290</v>
      </c>
      <c r="M457" s="43" t="str">
        <v>reset</v>
      </c>
      <c r="N457" s="43" t="str">
        <f t="shared" si="35"/>
        <v>*reset*</v>
      </c>
      <c r="O457" s="43" t="str">
        <v>*asset*</v>
      </c>
      <c r="P457" s="43">
        <f t="shared" si="36"/>
        <v>13</v>
      </c>
      <c r="Q457" s="43" t="str">
        <v>*consolid*</v>
      </c>
      <c r="R457" s="43">
        <v>2</v>
      </c>
      <c r="S457" s="43">
        <f t="shared" si="37"/>
        <v>2.65</v>
      </c>
      <c r="T457" s="43">
        <f t="shared" si="38"/>
        <v>1</v>
      </c>
    </row>
    <row r="458" spans="7:20">
      <c r="G458" s="27" cm="1">
        <f t="array" ref="G458">INDEX($D:$D, MATCH(1, (H458 &gt;= $B:$B) * (H458 &lt;= $C:$C), 0))</f>
        <v>9</v>
      </c>
      <c r="H458" s="28">
        <v>46057</v>
      </c>
      <c r="I458" s="29" t="s">
        <v>26</v>
      </c>
      <c r="J458" s="29">
        <v>1</v>
      </c>
      <c r="K458" s="30" t="s">
        <v>291</v>
      </c>
      <c r="M458" s="43" t="str">
        <v>keybinds</v>
      </c>
      <c r="N458" s="43" t="str">
        <f t="shared" si="35"/>
        <v>*keybinds*</v>
      </c>
      <c r="O458" s="43" t="str">
        <v>*updat*</v>
      </c>
      <c r="P458" s="43">
        <f t="shared" si="36"/>
        <v>7</v>
      </c>
      <c r="Q458" s="43" t="str">
        <v>*consolidat*</v>
      </c>
      <c r="R458" s="43">
        <v>2</v>
      </c>
      <c r="S458" s="43">
        <f t="shared" si="37"/>
        <v>2.65</v>
      </c>
      <c r="T458" s="43">
        <f t="shared" si="38"/>
        <v>1</v>
      </c>
    </row>
    <row r="459" spans="7:20">
      <c r="G459" s="27" cm="1">
        <f t="array" ref="G459">INDEX($D:$D, MATCH(1, (H459 &gt;= $B:$B) * (H459 &lt;= $C:$C), 0))</f>
        <v>9</v>
      </c>
      <c r="H459" s="28">
        <v>46057</v>
      </c>
      <c r="I459" s="29" t="s">
        <v>28</v>
      </c>
      <c r="J459" s="29">
        <v>1</v>
      </c>
      <c r="K459" s="30" t="s">
        <v>291</v>
      </c>
      <c r="M459" s="43" t="str">
        <v>Final</v>
      </c>
      <c r="N459" s="43" t="str">
        <f t="shared" si="35"/>
        <v>*final*</v>
      </c>
      <c r="O459" s="43" t="str">
        <v>*changes*</v>
      </c>
      <c r="P459" s="43">
        <f t="shared" si="36"/>
        <v>7</v>
      </c>
      <c r="Q459" s="43" t="str">
        <v>*tests*</v>
      </c>
      <c r="R459" s="43">
        <v>2</v>
      </c>
      <c r="S459" s="43">
        <f t="shared" si="37"/>
        <v>2.65</v>
      </c>
      <c r="T459" s="43">
        <f t="shared" si="38"/>
        <v>1</v>
      </c>
    </row>
    <row r="460" spans="7:20">
      <c r="G460" s="27" cm="1">
        <f t="array" ref="G460">INDEX($D:$D, MATCH(1, (H460 &gt;= $B:$B) * (H460 &lt;= $C:$C), 0))</f>
        <v>9</v>
      </c>
      <c r="H460" s="28">
        <v>46057</v>
      </c>
      <c r="I460" s="29" t="s">
        <v>16</v>
      </c>
      <c r="J460" s="29">
        <v>1</v>
      </c>
      <c r="K460" s="30" t="s">
        <v>291</v>
      </c>
      <c r="M460" s="43" t="str">
        <v>presentation,</v>
      </c>
      <c r="N460" s="43" t="str">
        <f t="shared" si="35"/>
        <v>*presenta*</v>
      </c>
      <c r="O460" s="43" t="str">
        <v>*interact*</v>
      </c>
      <c r="P460" s="43">
        <f t="shared" si="36"/>
        <v>10</v>
      </c>
      <c r="Q460" s="43" t="str">
        <v>*constrain*</v>
      </c>
      <c r="R460" s="43">
        <v>2</v>
      </c>
      <c r="S460" s="43">
        <f t="shared" si="37"/>
        <v>2.65</v>
      </c>
      <c r="T460" s="43">
        <f t="shared" si="38"/>
        <v>1</v>
      </c>
    </row>
    <row r="461" spans="7:20">
      <c r="G461" s="27" cm="1">
        <f t="array" ref="G461">INDEX($D:$D, MATCH(1, (H461 &gt;= $B:$B) * (H461 &lt;= $C:$C), 0))</f>
        <v>9</v>
      </c>
      <c r="H461" s="28">
        <v>46057</v>
      </c>
      <c r="I461" s="29" t="s">
        <v>34</v>
      </c>
      <c r="J461" s="29">
        <v>1</v>
      </c>
      <c r="K461" s="30" t="s">
        <v>291</v>
      </c>
      <c r="M461" s="43" t="str">
        <v>assets,</v>
      </c>
      <c r="N461" s="43" t="str">
        <f t="shared" si="35"/>
        <v>*assets*</v>
      </c>
      <c r="O461" s="43" t="str">
        <v>*prompt*</v>
      </c>
      <c r="P461" s="43">
        <f t="shared" si="36"/>
        <v>4</v>
      </c>
      <c r="Q461" s="43" t="str">
        <v>*mesh*</v>
      </c>
      <c r="R461" s="43">
        <v>2</v>
      </c>
      <c r="S461" s="43">
        <f t="shared" si="37"/>
        <v>2.65</v>
      </c>
      <c r="T461" s="43">
        <f t="shared" si="38"/>
        <v>1</v>
      </c>
    </row>
    <row r="462" spans="7:20">
      <c r="G462" s="27" cm="1">
        <f t="array" ref="G462">INDEX($D:$D, MATCH(1, (H462 &gt;= $B:$B) * (H462 &lt;= $C:$C), 0))</f>
        <v>9</v>
      </c>
      <c r="H462" s="28">
        <v>46057</v>
      </c>
      <c r="I462" s="29" t="s">
        <v>78</v>
      </c>
      <c r="J462" s="29">
        <v>1</v>
      </c>
      <c r="K462" s="30" t="s">
        <v>291</v>
      </c>
      <c r="M462" s="43" t="str">
        <v>boat,</v>
      </c>
      <c r="N462" s="43" t="str">
        <f t="shared" si="35"/>
        <v>*boat*</v>
      </c>
      <c r="O462" s="43" t="str">
        <v>*outline*</v>
      </c>
      <c r="P462" s="43">
        <f t="shared" si="36"/>
        <v>4</v>
      </c>
      <c r="Q462" s="43" t="str">
        <v>*broken*</v>
      </c>
      <c r="R462" s="43">
        <v>2</v>
      </c>
      <c r="S462" s="43">
        <f t="shared" si="37"/>
        <v>2.65</v>
      </c>
      <c r="T462" s="43">
        <f t="shared" si="38"/>
        <v>1</v>
      </c>
    </row>
    <row r="463" spans="7:20">
      <c r="G463" s="27" cm="1">
        <f t="array" ref="G463">INDEX($D:$D, MATCH(1, (H463 &gt;= $B:$B) * (H463 &lt;= $C:$C), 0))</f>
        <v>9</v>
      </c>
      <c r="H463" s="28">
        <v>46057</v>
      </c>
      <c r="I463" s="29" t="s">
        <v>24</v>
      </c>
      <c r="J463" s="29">
        <v>1</v>
      </c>
      <c r="K463" s="30" t="s">
        <v>291</v>
      </c>
      <c r="M463" s="43" t="str">
        <v>Ironed</v>
      </c>
      <c r="N463" s="43" t="str">
        <f t="shared" si="35"/>
        <v>*ironed*</v>
      </c>
      <c r="O463" s="43" t="str">
        <v>*vines*</v>
      </c>
      <c r="P463" s="43">
        <f t="shared" si="36"/>
        <v>7</v>
      </c>
      <c r="Q463" s="43" t="str">
        <v>*began*</v>
      </c>
      <c r="R463" s="43">
        <v>2</v>
      </c>
      <c r="S463" s="43">
        <f t="shared" si="37"/>
        <v>2.65</v>
      </c>
      <c r="T463" s="43">
        <f t="shared" si="38"/>
        <v>1</v>
      </c>
    </row>
    <row r="464" spans="7:20">
      <c r="G464" s="27" cm="1">
        <f t="array" ref="G464">INDEX($D:$D, MATCH(1, (H464 &gt;= $B:$B) * (H464 &lt;= $C:$C), 0))</f>
        <v>9</v>
      </c>
      <c r="H464" s="28">
        <v>46058</v>
      </c>
      <c r="I464" s="29" t="s">
        <v>26</v>
      </c>
      <c r="J464" s="29">
        <v>1.5</v>
      </c>
      <c r="K464" s="30" t="s">
        <v>292</v>
      </c>
      <c r="M464" s="43" t="str">
        <v>out</v>
      </c>
      <c r="N464" s="43" t="str">
        <f t="shared" si="35"/>
        <v>*out*</v>
      </c>
      <c r="O464" s="43" t="str">
        <v>*slid*</v>
      </c>
      <c r="P464" s="43">
        <f t="shared" si="36"/>
        <v>8</v>
      </c>
      <c r="Q464" s="43" t="str">
        <v>*touches*</v>
      </c>
      <c r="R464" s="43">
        <v>2</v>
      </c>
      <c r="S464" s="43">
        <f t="shared" si="37"/>
        <v>2.65</v>
      </c>
      <c r="T464" s="43">
        <f t="shared" si="38"/>
        <v>1</v>
      </c>
    </row>
    <row r="465" spans="7:20">
      <c r="G465" s="27" cm="1">
        <f t="array" ref="G465">INDEX($D:$D, MATCH(1, (H465 &gt;= $B:$B) * (H465 &lt;= $C:$C), 0))</f>
        <v>9</v>
      </c>
      <c r="H465" s="28">
        <v>46058</v>
      </c>
      <c r="I465" s="29" t="s">
        <v>78</v>
      </c>
      <c r="J465" s="29">
        <v>1</v>
      </c>
      <c r="K465" s="30" t="s">
        <v>293</v>
      </c>
      <c r="M465" s="43" t="str">
        <v>open</v>
      </c>
      <c r="N465" s="43" t="str">
        <f t="shared" si="35"/>
        <v>*open*</v>
      </c>
      <c r="O465" s="43" t="str">
        <v>*block*</v>
      </c>
      <c r="P465" s="43">
        <f t="shared" si="36"/>
        <v>7</v>
      </c>
      <c r="Q465" s="43" t="str">
        <v>*integrat*</v>
      </c>
      <c r="R465" s="43">
        <v>2</v>
      </c>
      <c r="S465" s="43">
        <f t="shared" si="37"/>
        <v>2.65</v>
      </c>
      <c r="T465" s="43">
        <f t="shared" si="38"/>
        <v>1</v>
      </c>
    </row>
    <row r="466" spans="7:20">
      <c r="G466" s="27" cm="1">
        <f t="array" ref="G466">INDEX($D:$D, MATCH(1, (H466 &gt;= $B:$B) * (H466 &lt;= $C:$C), 0))</f>
        <v>9</v>
      </c>
      <c r="H466" s="28">
        <v>46058</v>
      </c>
      <c r="I466" s="29" t="s">
        <v>28</v>
      </c>
      <c r="J466" s="29">
        <v>2.5</v>
      </c>
      <c r="K466" s="30" t="s">
        <v>294</v>
      </c>
      <c r="M466" s="43" t="str">
        <v>Practicing</v>
      </c>
      <c r="N466" s="43" t="str">
        <f t="shared" si="35"/>
        <v>*practic*</v>
      </c>
      <c r="O466" s="43" t="str">
        <v>*pick*</v>
      </c>
      <c r="P466" s="43">
        <f t="shared" si="36"/>
        <v>10</v>
      </c>
      <c r="Q466" s="43" t="str">
        <v>*tile*</v>
      </c>
      <c r="R466" s="43">
        <v>2</v>
      </c>
      <c r="S466" s="43">
        <f t="shared" si="37"/>
        <v>2.65</v>
      </c>
      <c r="T466" s="43">
        <f t="shared" si="38"/>
        <v>1</v>
      </c>
    </row>
    <row r="467" spans="7:20" ht="30">
      <c r="G467" s="27" cm="1">
        <f t="array" ref="G467">INDEX($D:$D, MATCH(1, (H467 &gt;= $B:$B) * (H467 &lt;= $C:$C), 0))</f>
        <v>9</v>
      </c>
      <c r="H467" s="28">
        <v>46059</v>
      </c>
      <c r="I467" s="29" t="s">
        <v>16</v>
      </c>
      <c r="J467" s="29">
        <v>2</v>
      </c>
      <c r="K467" s="30" t="s">
        <v>295</v>
      </c>
      <c r="M467" s="43" t="str">
        <v>improving</v>
      </c>
      <c r="N467" s="43" t="str">
        <f t="shared" si="35"/>
        <v>*improv*</v>
      </c>
      <c r="O467" s="43" t="str">
        <v>*upput*</v>
      </c>
      <c r="P467" s="43">
        <f t="shared" si="36"/>
        <v>0</v>
      </c>
      <c r="Q467" s="43" t="str">
        <v>*drums*</v>
      </c>
      <c r="R467" s="43">
        <v>2</v>
      </c>
      <c r="S467" s="43">
        <f t="shared" si="37"/>
        <v>2.65</v>
      </c>
      <c r="T467" s="43">
        <f t="shared" si="38"/>
        <v>1</v>
      </c>
    </row>
    <row r="468" spans="7:20">
      <c r="G468" s="27" cm="1">
        <f t="array" ref="G468">INDEX($D:$D, MATCH(1, (H468 &gt;= $B:$B) * (H468 &lt;= $C:$C), 0))</f>
        <v>9</v>
      </c>
      <c r="H468" s="28">
        <v>46059</v>
      </c>
      <c r="I468" s="29" t="s">
        <v>16</v>
      </c>
      <c r="J468" s="29">
        <v>3</v>
      </c>
      <c r="K468" s="30" t="s">
        <v>296</v>
      </c>
      <c r="M468" s="43" t="str">
        <v>footprints</v>
      </c>
      <c r="N468" s="43" t="str">
        <f t="shared" si="35"/>
        <v>*footprints*</v>
      </c>
      <c r="O468" s="43" t="str">
        <v>*down*</v>
      </c>
      <c r="P468" s="43">
        <f t="shared" si="36"/>
        <v>4</v>
      </c>
      <c r="Q468" s="43" t="str">
        <v>*each*</v>
      </c>
      <c r="R468" s="43">
        <v>2</v>
      </c>
      <c r="S468" s="43">
        <f t="shared" si="37"/>
        <v>2.65</v>
      </c>
      <c r="T468" s="43">
        <f t="shared" si="38"/>
        <v>1</v>
      </c>
    </row>
    <row r="469" spans="7:20">
      <c r="G469" s="27" cm="1">
        <f t="array" ref="G469">INDEX($D:$D, MATCH(1, (H469 &gt;= $B:$B) * (H469 &lt;= $C:$C), 0))</f>
        <v>9</v>
      </c>
      <c r="H469" s="28">
        <v>46061</v>
      </c>
      <c r="I469" s="29" t="s">
        <v>26</v>
      </c>
      <c r="J469" s="29">
        <v>5</v>
      </c>
      <c r="K469" s="30" t="s">
        <v>297</v>
      </c>
      <c r="M469" s="43" t="str">
        <v>submission</v>
      </c>
      <c r="N469" s="43" t="str">
        <f t="shared" si="35"/>
        <v>*submission*</v>
      </c>
      <c r="O469" s="43" t="str">
        <v>*woods*</v>
      </c>
      <c r="P469" s="43">
        <f t="shared" si="36"/>
        <v>1</v>
      </c>
      <c r="Q469" s="43" t="str">
        <v>*decal*</v>
      </c>
      <c r="R469" s="43">
        <v>2</v>
      </c>
      <c r="S469" s="43">
        <f t="shared" si="37"/>
        <v>2.65</v>
      </c>
      <c r="T469" s="43">
        <f t="shared" si="38"/>
        <v>1</v>
      </c>
    </row>
    <row r="470" spans="7:20" ht="30">
      <c r="G470" s="27" cm="1">
        <f t="array" ref="G470">INDEX($D:$D, MATCH(1, (H470 &gt;= $B:$B) * (H470 &lt;= $C:$C), 0))</f>
        <v>9</v>
      </c>
      <c r="H470" s="28">
        <v>46061</v>
      </c>
      <c r="I470" s="29" t="s">
        <v>28</v>
      </c>
      <c r="J470" s="29">
        <v>5</v>
      </c>
      <c r="K470" s="30" t="s">
        <v>298</v>
      </c>
      <c r="M470" s="43" t="str">
        <v>khakis</v>
      </c>
      <c r="N470" s="43" t="str">
        <f t="shared" si="35"/>
        <v>*khakis*</v>
      </c>
      <c r="O470" s="43" t="str">
        <v>*classes*</v>
      </c>
      <c r="P470" s="43">
        <f t="shared" si="36"/>
        <v>1</v>
      </c>
      <c r="Q470" s="43" t="str">
        <v>*rough*</v>
      </c>
      <c r="R470" s="43">
        <v>2</v>
      </c>
      <c r="S470" s="43">
        <f t="shared" si="37"/>
        <v>2.65</v>
      </c>
      <c r="T470" s="43">
        <f t="shared" si="38"/>
        <v>1</v>
      </c>
    </row>
    <row r="471" spans="7:20" ht="45">
      <c r="G471" s="27" cm="1">
        <f t="array" ref="G471">INDEX($D:$D, MATCH(1, (H471 &gt;= $B:$B) * (H471 &lt;= $C:$C), 0))</f>
        <v>9</v>
      </c>
      <c r="H471" s="28">
        <v>46061</v>
      </c>
      <c r="I471" s="29" t="s">
        <v>34</v>
      </c>
      <c r="J471" s="29">
        <v>6</v>
      </c>
      <c r="K471" s="30" t="s">
        <v>299</v>
      </c>
      <c r="M471" s="43" t="str">
        <v>group</v>
      </c>
      <c r="N471" s="43" t="str">
        <f t="shared" si="35"/>
        <v>*group*</v>
      </c>
      <c r="O471" s="43" t="str">
        <v>*schema*</v>
      </c>
      <c r="P471" s="43">
        <f t="shared" si="36"/>
        <v>1</v>
      </c>
      <c r="Q471" s="43" t="str">
        <v>*steven*</v>
      </c>
      <c r="R471" s="43">
        <v>2</v>
      </c>
      <c r="S471" s="43">
        <f t="shared" si="37"/>
        <v>2.65</v>
      </c>
      <c r="T471" s="43">
        <f t="shared" si="38"/>
        <v>1</v>
      </c>
    </row>
    <row r="472" spans="7:20">
      <c r="G472" s="27" cm="1">
        <f t="array" ref="G472">INDEX($D:$D, MATCH(1, (H472 &gt;= $B:$B) * (H472 &lt;= $C:$C), 0))</f>
        <v>9</v>
      </c>
      <c r="H472" s="28">
        <v>46061</v>
      </c>
      <c r="I472" s="29" t="s">
        <v>78</v>
      </c>
      <c r="J472" s="29">
        <v>1.5</v>
      </c>
      <c r="K472" s="30" t="s">
        <v>300</v>
      </c>
      <c r="M472" s="43" t="str">
        <v>night</v>
      </c>
      <c r="N472" s="43" t="str">
        <f t="shared" si="35"/>
        <v>*night*</v>
      </c>
      <c r="O472" s="43" t="str">
        <v>*clear*</v>
      </c>
      <c r="P472" s="43">
        <f t="shared" si="36"/>
        <v>1</v>
      </c>
      <c r="Q472" s="43" t="str">
        <v>*symbol*</v>
      </c>
      <c r="R472" s="43">
        <v>2</v>
      </c>
      <c r="S472" s="43">
        <f t="shared" si="37"/>
        <v>2.65</v>
      </c>
      <c r="T472" s="43">
        <f t="shared" si="38"/>
        <v>1</v>
      </c>
    </row>
    <row r="473" spans="7:20" ht="30">
      <c r="G473" s="27" cm="1">
        <f t="array" ref="G473">INDEX($D:$D, MATCH(1, (H473 &gt;= $B:$B) * (H473 &lt;= $C:$C), 0))</f>
        <v>9</v>
      </c>
      <c r="H473" s="28">
        <v>46062</v>
      </c>
      <c r="I473" s="29" t="s">
        <v>78</v>
      </c>
      <c r="J473" s="29">
        <v>3</v>
      </c>
      <c r="K473" s="30" t="s">
        <v>301</v>
      </c>
      <c r="M473" s="43" t="str">
        <v>before</v>
      </c>
      <c r="N473" s="43" t="str">
        <f t="shared" si="35"/>
        <v>*before*</v>
      </c>
      <c r="O473" s="43" t="str">
        <v>*sec*</v>
      </c>
      <c r="P473" s="43">
        <f t="shared" si="36"/>
        <v>2</v>
      </c>
      <c r="Q473" s="43" t="str">
        <v>*filled*</v>
      </c>
      <c r="R473" s="43">
        <v>2</v>
      </c>
      <c r="S473" s="43">
        <f t="shared" si="37"/>
        <v>2.65</v>
      </c>
      <c r="T473" s="43">
        <f t="shared" si="38"/>
        <v>1</v>
      </c>
    </row>
    <row r="474" spans="7:20">
      <c r="G474" s="27" cm="1">
        <f t="array" ref="G474">INDEX($D:$D, MATCH(1, (H474 &gt;= $B:$B) * (H474 &lt;= $C:$C), 0))</f>
        <v>9</v>
      </c>
      <c r="H474" s="28">
        <v>46062</v>
      </c>
      <c r="I474" s="29" t="s">
        <v>16</v>
      </c>
      <c r="J474" s="29">
        <v>1</v>
      </c>
      <c r="K474" s="30" t="s">
        <v>77</v>
      </c>
      <c r="M474" s="43" t="str">
        <v>following</v>
      </c>
      <c r="N474" s="43" t="str">
        <f t="shared" si="35"/>
        <v>*follow*</v>
      </c>
      <c r="O474" s="43" t="str">
        <v>*troubleshoot*</v>
      </c>
      <c r="P474" s="43">
        <f t="shared" si="36"/>
        <v>3</v>
      </c>
      <c r="Q474" s="43" t="str">
        <v>*mountain*</v>
      </c>
      <c r="R474" s="43">
        <v>2</v>
      </c>
      <c r="S474" s="43">
        <f t="shared" si="37"/>
        <v>2.65</v>
      </c>
      <c r="T474" s="43">
        <f t="shared" si="38"/>
        <v>1</v>
      </c>
    </row>
    <row r="475" spans="7:20">
      <c r="G475" s="27" cm="1">
        <f t="array" ref="G475">INDEX($D:$D, MATCH(1, (H475 &gt;= $B:$B) * (H475 &lt;= $C:$C), 0))</f>
        <v>9</v>
      </c>
      <c r="H475" s="28">
        <v>46062</v>
      </c>
      <c r="I475" s="29" t="s">
        <v>34</v>
      </c>
      <c r="J475" s="29">
        <v>1</v>
      </c>
      <c r="K475" s="30" t="s">
        <v>77</v>
      </c>
      <c r="M475" s="43" t="str">
        <v>late</v>
      </c>
      <c r="N475" s="43" t="str">
        <f t="shared" si="35"/>
        <v>*late*</v>
      </c>
      <c r="O475" s="43" t="str">
        <v>*note*</v>
      </c>
      <c r="P475" s="43">
        <f t="shared" si="36"/>
        <v>10</v>
      </c>
      <c r="Q475" s="43" t="str">
        <v>*edits*</v>
      </c>
      <c r="R475" s="43">
        <v>2</v>
      </c>
      <c r="S475" s="43">
        <f t="shared" si="37"/>
        <v>2.65</v>
      </c>
      <c r="T475" s="43">
        <f t="shared" si="38"/>
        <v>1</v>
      </c>
    </row>
    <row r="476" spans="7:20">
      <c r="G476" s="27" cm="1">
        <f t="array" ref="G476">INDEX($D:$D, MATCH(1, (H476 &gt;= $B:$B) * (H476 &lt;= $C:$C), 0))</f>
        <v>9</v>
      </c>
      <c r="H476" s="28">
        <v>46062</v>
      </c>
      <c r="I476" s="29" t="s">
        <v>78</v>
      </c>
      <c r="J476" s="29">
        <v>1</v>
      </c>
      <c r="K476" s="30" t="s">
        <v>77</v>
      </c>
      <c r="M476" s="43" t="str">
        <v>day!</v>
      </c>
      <c r="N476" s="43" t="str">
        <f t="shared" si="35"/>
        <v>*day*</v>
      </c>
      <c r="O476" s="43" t="str">
        <v>*finished*</v>
      </c>
      <c r="P476" s="43">
        <f t="shared" si="36"/>
        <v>5</v>
      </c>
      <c r="Q476" s="43" t="str">
        <v>*interface*</v>
      </c>
      <c r="R476" s="43">
        <v>2</v>
      </c>
      <c r="S476" s="43">
        <f t="shared" si="37"/>
        <v>2.65</v>
      </c>
      <c r="T476" s="43">
        <f t="shared" si="38"/>
        <v>1</v>
      </c>
    </row>
    <row r="477" spans="7:20">
      <c r="G477" s="27" cm="1">
        <f t="array" ref="G477">INDEX($D:$D, MATCH(1, (H477 &gt;= $B:$B) * (H477 &lt;= $C:$C), 0))</f>
        <v>9</v>
      </c>
      <c r="H477" s="28">
        <v>46062</v>
      </c>
      <c r="I477" s="29" t="s">
        <v>26</v>
      </c>
      <c r="J477" s="29">
        <v>1</v>
      </c>
      <c r="K477" s="30" t="s">
        <v>77</v>
      </c>
      <c r="M477" s="43" t="str">
        <v>cleanup</v>
      </c>
      <c r="N477" s="43" t="str">
        <f t="shared" si="35"/>
        <v>*cleanup*</v>
      </c>
      <c r="O477" s="43" t="str">
        <v>*area*</v>
      </c>
      <c r="P477" s="43">
        <f t="shared" si="36"/>
        <v>11</v>
      </c>
      <c r="Q477" s="43" t="str">
        <v>*simple*</v>
      </c>
      <c r="R477" s="43">
        <v>2</v>
      </c>
      <c r="S477" s="43">
        <f t="shared" si="37"/>
        <v>2.65</v>
      </c>
      <c r="T477" s="43">
        <f t="shared" si="38"/>
        <v>1</v>
      </c>
    </row>
    <row r="478" spans="7:20">
      <c r="G478" s="27" cm="1">
        <f t="array" ref="G478">INDEX($D:$D, MATCH(1, (H478 &gt;= $B:$B) * (H478 &lt;= $C:$C), 0))</f>
        <v>9</v>
      </c>
      <c r="H478" s="28">
        <v>46062</v>
      </c>
      <c r="I478" s="29" t="s">
        <v>28</v>
      </c>
      <c r="J478" s="29">
        <v>1</v>
      </c>
      <c r="K478" s="30" t="s">
        <v>77</v>
      </c>
      <c r="M478" s="43" t="str">
        <v>collaboration</v>
      </c>
      <c r="N478" s="43" t="str">
        <f t="shared" si="35"/>
        <v>*collabora*</v>
      </c>
      <c r="O478" s="43" t="str">
        <v>*restora*</v>
      </c>
      <c r="P478" s="43">
        <f t="shared" si="36"/>
        <v>1</v>
      </c>
      <c r="Q478" s="43" t="str">
        <v>*water*</v>
      </c>
      <c r="R478" s="43">
        <v>2</v>
      </c>
      <c r="S478" s="43">
        <f t="shared" si="37"/>
        <v>2.65</v>
      </c>
      <c r="T478" s="43">
        <f t="shared" si="38"/>
        <v>1</v>
      </c>
    </row>
    <row r="479" spans="7:20">
      <c r="G479" s="27" cm="1">
        <f t="array" ref="G479">INDEX($D:$D, MATCH(1, (H479 &gt;= $B:$B) * (H479 &lt;= $C:$C), 0))</f>
        <v>9</v>
      </c>
      <c r="H479" s="28">
        <v>46062</v>
      </c>
      <c r="I479" s="29" t="s">
        <v>24</v>
      </c>
      <c r="J479" s="29">
        <v>1</v>
      </c>
      <c r="K479" s="30" t="s">
        <v>77</v>
      </c>
      <c r="M479" s="43" t="str">
        <v>communication</v>
      </c>
      <c r="N479" s="43" t="str">
        <f t="shared" si="35"/>
        <v>*communica*</v>
      </c>
      <c r="O479" s="43" t="str">
        <v>*bug*</v>
      </c>
      <c r="P479" s="43">
        <f t="shared" si="36"/>
        <v>27</v>
      </c>
      <c r="Q479" s="43" t="str">
        <v>*particles*</v>
      </c>
      <c r="R479" s="43">
        <v>2</v>
      </c>
      <c r="S479" s="43">
        <f t="shared" si="37"/>
        <v>2.65</v>
      </c>
      <c r="T479" s="43">
        <f t="shared" si="38"/>
        <v>1</v>
      </c>
    </row>
    <row r="480" spans="7:20">
      <c r="G480" s="27" cm="1">
        <f t="array" ref="G480">INDEX($D:$D, MATCH(1, (H480 &gt;= $B:$B) * (H480 &lt;= $C:$C), 0))</f>
        <v>9</v>
      </c>
      <c r="H480" s="28">
        <v>46062</v>
      </c>
      <c r="I480" s="29" t="s">
        <v>16</v>
      </c>
      <c r="J480" s="29">
        <v>4</v>
      </c>
      <c r="K480" s="30" t="s">
        <v>302</v>
      </c>
      <c r="M480" s="43" t="str">
        <v>Comparing</v>
      </c>
      <c r="N480" s="43" t="str">
        <f t="shared" si="35"/>
        <v>*compar*</v>
      </c>
      <c r="O480" s="43" t="str">
        <v>*pickup*</v>
      </c>
      <c r="P480" s="43">
        <f t="shared" si="36"/>
        <v>2</v>
      </c>
      <c r="Q480" s="43" t="str">
        <v>*race*</v>
      </c>
      <c r="R480" s="43">
        <v>2</v>
      </c>
      <c r="S480" s="43">
        <f t="shared" si="37"/>
        <v>2.65</v>
      </c>
      <c r="T480" s="43">
        <f t="shared" si="38"/>
        <v>1</v>
      </c>
    </row>
    <row r="481" spans="7:20" ht="30">
      <c r="G481" s="62" cm="1">
        <f t="array" ref="G481">INDEX($D:$D, MATCH(1, (H481 &gt;= $B:$B) * (H481 &lt;= $C:$C), 0))</f>
        <v>9</v>
      </c>
      <c r="H481" s="28">
        <v>46062</v>
      </c>
      <c r="I481" s="29" t="s">
        <v>78</v>
      </c>
      <c r="J481" s="29">
        <v>4</v>
      </c>
      <c r="K481" s="30" t="s">
        <v>303</v>
      </c>
      <c r="M481" s="43" t="str">
        <v>schedules</v>
      </c>
      <c r="N481" s="43" t="str">
        <f t="shared" si="35"/>
        <v>*schedules*</v>
      </c>
      <c r="O481" s="43" t="str">
        <v>*redid*</v>
      </c>
      <c r="P481" s="43">
        <f t="shared" si="36"/>
        <v>1</v>
      </c>
      <c r="Q481" s="43" t="str">
        <v>*completed*</v>
      </c>
      <c r="R481" s="43">
        <v>2</v>
      </c>
      <c r="S481" s="43">
        <f t="shared" si="37"/>
        <v>2.65</v>
      </c>
      <c r="T481" s="43">
        <f t="shared" si="38"/>
        <v>1</v>
      </c>
    </row>
    <row r="482" spans="7:20">
      <c r="G482" s="62" cm="1">
        <f t="array" ref="G482">INDEX($D:$D, MATCH(1, (H482 &gt;= $B:$B) * (H482 &lt;= $C:$C), 0))</f>
        <v>9</v>
      </c>
      <c r="H482" s="28">
        <v>46063</v>
      </c>
      <c r="I482" s="29" t="s">
        <v>16</v>
      </c>
      <c r="J482" s="29">
        <v>1</v>
      </c>
      <c r="K482" s="30" t="s">
        <v>304</v>
      </c>
      <c r="M482" s="43" t="str">
        <v>next</v>
      </c>
      <c r="N482" s="43" t="str">
        <f t="shared" si="35"/>
        <v>*next*</v>
      </c>
      <c r="O482" s="43" t="str">
        <v>*vine*</v>
      </c>
      <c r="P482" s="43">
        <f t="shared" si="36"/>
        <v>17</v>
      </c>
      <c r="Q482" s="43" t="str">
        <v>*come*</v>
      </c>
      <c r="R482" s="43">
        <v>2</v>
      </c>
      <c r="S482" s="43">
        <f t="shared" si="37"/>
        <v>2.65</v>
      </c>
      <c r="T482" s="43">
        <f t="shared" si="38"/>
        <v>1</v>
      </c>
    </row>
    <row r="483" spans="7:20">
      <c r="G483" s="62" cm="1">
        <f t="array" ref="G483">INDEX($D:$D, MATCH(1, (H483 &gt;= $B:$B) * (H483 &lt;= $C:$C), 0))</f>
        <v>9</v>
      </c>
      <c r="H483" s="64">
        <v>46063</v>
      </c>
      <c r="I483" s="29" t="s">
        <v>24</v>
      </c>
      <c r="J483" s="29">
        <v>1</v>
      </c>
      <c r="K483" s="30" t="s">
        <v>304</v>
      </c>
      <c r="M483" s="43" t="str">
        <v>semester</v>
      </c>
      <c r="N483" s="43" t="str">
        <f t="shared" si="35"/>
        <v>*semester*</v>
      </c>
      <c r="O483" s="43" t="str">
        <v>*graphical*</v>
      </c>
      <c r="P483" s="43">
        <f t="shared" si="36"/>
        <v>1</v>
      </c>
      <c r="Q483" s="43" t="str">
        <v>*after*</v>
      </c>
      <c r="R483" s="43">
        <v>2</v>
      </c>
      <c r="S483" s="43">
        <f t="shared" si="37"/>
        <v>2.65</v>
      </c>
      <c r="T483" s="43">
        <f t="shared" si="38"/>
        <v>1</v>
      </c>
    </row>
    <row r="484" spans="7:20">
      <c r="G484" s="62" cm="1">
        <f t="array" ref="G484">INDEX($D:$D, MATCH(1, (H484 &gt;= $B:$B) * (H484 &lt;= $C:$C), 0))</f>
        <v>10</v>
      </c>
      <c r="H484" s="28">
        <v>46064</v>
      </c>
      <c r="I484" s="29" t="s">
        <v>16</v>
      </c>
      <c r="J484" s="29">
        <v>3</v>
      </c>
      <c r="K484" s="30" t="s">
        <v>305</v>
      </c>
      <c r="M484" s="43" t="str">
        <v>renaming</v>
      </c>
      <c r="N484" s="43" t="str">
        <f t="shared" si="35"/>
        <v>*renam*</v>
      </c>
      <c r="O484" s="43" t="str">
        <v>*band*</v>
      </c>
      <c r="P484" s="43">
        <f t="shared" si="36"/>
        <v>1</v>
      </c>
      <c r="Q484" s="43" t="str">
        <v>*map*</v>
      </c>
      <c r="R484" s="43">
        <v>2</v>
      </c>
      <c r="S484" s="43">
        <f t="shared" si="37"/>
        <v>2.65</v>
      </c>
      <c r="T484" s="43">
        <f t="shared" si="38"/>
        <v>1</v>
      </c>
    </row>
    <row r="485" spans="7:20">
      <c r="G485" s="62" cm="1">
        <f t="array" ref="G485">INDEX($D:$D, MATCH(1, (H485 &gt;= $B:$B) * (H485 &lt;= $C:$C), 0))</f>
        <v>10</v>
      </c>
      <c r="H485" s="28">
        <v>46064</v>
      </c>
      <c r="I485" s="29" t="s">
        <v>24</v>
      </c>
      <c r="J485" s="29">
        <v>3.5</v>
      </c>
      <c r="K485" s="30" t="s">
        <v>306</v>
      </c>
      <c r="M485" s="43" t="str">
        <v>reorganizing</v>
      </c>
      <c r="N485" s="43" t="str">
        <f t="shared" si="35"/>
        <v>*reorganiz*</v>
      </c>
      <c r="O485" s="43" t="str">
        <v>*blend*</v>
      </c>
      <c r="P485" s="43">
        <f t="shared" si="36"/>
        <v>1</v>
      </c>
      <c r="Q485" s="43" t="str">
        <v>*state*</v>
      </c>
      <c r="R485" s="43">
        <v>2</v>
      </c>
      <c r="S485" s="43">
        <f t="shared" si="37"/>
        <v>2.65</v>
      </c>
      <c r="T485" s="43">
        <f t="shared" si="38"/>
        <v>1</v>
      </c>
    </row>
    <row r="486" spans="7:20">
      <c r="G486" s="62" cm="1">
        <f t="array" ref="G486">INDEX($D:$D, MATCH(1, (H486 &gt;= $B:$B) * (H486 &lt;= $C:$C), 0))</f>
        <v>10</v>
      </c>
      <c r="H486" s="28">
        <v>46064</v>
      </c>
      <c r="I486" s="29" t="s">
        <v>16</v>
      </c>
      <c r="J486" s="29">
        <v>1</v>
      </c>
      <c r="K486" s="30" t="s">
        <v>229</v>
      </c>
      <c r="M486" s="43" t="str">
        <v>Scheduling</v>
      </c>
      <c r="N486" s="43" t="str">
        <f t="shared" si="35"/>
        <v>*schedul*</v>
      </c>
      <c r="O486" s="43" t="str">
        <v>*river*</v>
      </c>
      <c r="P486" s="43">
        <f t="shared" si="36"/>
        <v>7</v>
      </c>
      <c r="Q486" s="43" t="str">
        <v>*splines*</v>
      </c>
      <c r="R486" s="43">
        <v>2</v>
      </c>
      <c r="S486" s="43">
        <f t="shared" si="37"/>
        <v>2.65</v>
      </c>
      <c r="T486" s="43">
        <f t="shared" si="38"/>
        <v>1</v>
      </c>
    </row>
    <row r="487" spans="7:20">
      <c r="G487" s="62" cm="1">
        <f t="array" ref="G487">INDEX($D:$D, MATCH(1, (H487 &gt;= $B:$B) * (H487 &lt;= $C:$C), 0))</f>
        <v>10</v>
      </c>
      <c r="H487" s="28">
        <v>46064</v>
      </c>
      <c r="I487" s="29" t="s">
        <v>28</v>
      </c>
      <c r="J487" s="29">
        <v>1</v>
      </c>
      <c r="K487" s="30" t="s">
        <v>229</v>
      </c>
      <c r="M487" s="43" t="str">
        <v>First</v>
      </c>
      <c r="N487" s="43" t="str">
        <f t="shared" si="35"/>
        <v>*first*</v>
      </c>
      <c r="O487" s="43" t="str">
        <v>*coach*</v>
      </c>
      <c r="P487" s="43">
        <f t="shared" si="36"/>
        <v>6</v>
      </c>
      <c r="Q487" s="43" t="str">
        <v>*tweak*</v>
      </c>
      <c r="R487" s="43">
        <v>2</v>
      </c>
      <c r="S487" s="43">
        <f t="shared" si="37"/>
        <v>2.65</v>
      </c>
      <c r="T487" s="43">
        <f t="shared" si="38"/>
        <v>1</v>
      </c>
    </row>
    <row r="488" spans="7:20">
      <c r="G488" s="62" cm="1">
        <f t="array" ref="G488">INDEX($D:$D, MATCH(1, (H488 &gt;= $B:$B) * (H488 &lt;= $C:$C), 0))</f>
        <v>10</v>
      </c>
      <c r="H488" s="28">
        <v>46064</v>
      </c>
      <c r="I488" s="29" t="s">
        <v>78</v>
      </c>
      <c r="J488" s="29">
        <v>1</v>
      </c>
      <c r="K488" s="30" t="s">
        <v>229</v>
      </c>
      <c r="M488" s="43" t="str">
        <v>Emma</v>
      </c>
      <c r="N488" s="43" t="str">
        <f t="shared" si="35"/>
        <v>*emma*</v>
      </c>
      <c r="O488" s="43" t="str">
        <v>*session*</v>
      </c>
      <c r="P488" s="43">
        <f t="shared" si="36"/>
        <v>7</v>
      </c>
      <c r="Q488" s="43" t="str">
        <v>*runn*</v>
      </c>
      <c r="R488" s="43">
        <v>2</v>
      </c>
      <c r="S488" s="43">
        <f t="shared" si="37"/>
        <v>2.65</v>
      </c>
      <c r="T488" s="43">
        <f t="shared" si="38"/>
        <v>1</v>
      </c>
    </row>
    <row r="489" spans="7:20">
      <c r="G489" s="62" cm="1">
        <f t="array" ref="G489">INDEX($D:$D, MATCH(1, (H489 &gt;= $B:$B) * (H489 &lt;= $C:$C), 0))</f>
        <v>10</v>
      </c>
      <c r="H489" s="28">
        <v>46064</v>
      </c>
      <c r="I489" s="29" t="s">
        <v>26</v>
      </c>
      <c r="J489" s="29">
        <v>1</v>
      </c>
      <c r="K489" s="30" t="s">
        <v>229</v>
      </c>
      <c r="M489" s="43" t="str">
        <v>Capstone</v>
      </c>
      <c r="N489" s="43" t="str">
        <f t="shared" si="35"/>
        <v>*capstone*</v>
      </c>
      <c r="O489" s="43" t="str">
        <v>*pushed*</v>
      </c>
      <c r="P489" s="43">
        <f t="shared" si="36"/>
        <v>1</v>
      </c>
      <c r="Q489" s="43" t="str">
        <v>*save*</v>
      </c>
      <c r="R489" s="43">
        <v>2</v>
      </c>
      <c r="S489" s="43">
        <f t="shared" si="37"/>
        <v>2.65</v>
      </c>
      <c r="T489" s="43">
        <f t="shared" si="38"/>
        <v>1</v>
      </c>
    </row>
    <row r="490" spans="7:20">
      <c r="G490" s="62" cm="1">
        <f t="array" ref="G490">INDEX($D:$D, MATCH(1, (H490 &gt;= $B:$B) * (H490 &lt;= $C:$C), 0))</f>
        <v>10</v>
      </c>
      <c r="H490" s="28">
        <v>46064</v>
      </c>
      <c r="I490" s="29" t="s">
        <v>34</v>
      </c>
      <c r="J490" s="29">
        <v>1</v>
      </c>
      <c r="K490" s="30" t="s">
        <v>229</v>
      </c>
      <c r="M490" s="43" t="str">
        <v>String</v>
      </c>
      <c r="N490" s="43" t="str">
        <f t="shared" si="35"/>
        <v>*string*</v>
      </c>
      <c r="O490" s="43" t="str">
        <v>*refine*</v>
      </c>
      <c r="P490" s="43">
        <f t="shared" si="36"/>
        <v>1</v>
      </c>
      <c r="Q490" s="43" t="str">
        <v>*unlock*</v>
      </c>
      <c r="R490" s="43">
        <v>2</v>
      </c>
      <c r="S490" s="43">
        <f t="shared" si="37"/>
        <v>2.65</v>
      </c>
      <c r="T490" s="43">
        <f t="shared" si="38"/>
        <v>1</v>
      </c>
    </row>
    <row r="491" spans="7:20">
      <c r="G491" s="62" cm="1">
        <f t="array" ref="G491">INDEX($D:$D, MATCH(1, (H491 &gt;= $B:$B) * (H491 &lt;= $C:$C), 0))</f>
        <v>10</v>
      </c>
      <c r="H491" s="28">
        <v>46064</v>
      </c>
      <c r="I491" s="29" t="s">
        <v>16</v>
      </c>
      <c r="J491" s="29">
        <v>2</v>
      </c>
      <c r="K491" s="30" t="s">
        <v>307</v>
      </c>
      <c r="M491" s="43" t="str">
        <v>scrum,</v>
      </c>
      <c r="N491" s="43" t="str">
        <f t="shared" si="35"/>
        <v>*scrum*</v>
      </c>
      <c r="O491" s="43" t="str">
        <v>*loca*</v>
      </c>
      <c r="P491" s="43">
        <f t="shared" si="36"/>
        <v>1</v>
      </c>
      <c r="Q491" s="43" t="str">
        <v>*varia*</v>
      </c>
      <c r="R491" s="43">
        <v>2</v>
      </c>
      <c r="S491" s="43">
        <f t="shared" si="37"/>
        <v>2.65</v>
      </c>
      <c r="T491" s="43">
        <f t="shared" si="38"/>
        <v>1</v>
      </c>
    </row>
    <row r="492" spans="7:20">
      <c r="G492" s="62" cm="1">
        <f t="array" ref="G492">INDEX($D:$D, MATCH(1, (H492 &gt;= $B:$B) * (H492 &lt;= $C:$C), 0))</f>
        <v>10</v>
      </c>
      <c r="H492" s="28">
        <v>46065</v>
      </c>
      <c r="I492" s="29" t="s">
        <v>28</v>
      </c>
      <c r="J492" s="29">
        <v>2</v>
      </c>
      <c r="K492" s="30" t="s">
        <v>308</v>
      </c>
      <c r="M492" s="43" t="str">
        <v>Decals</v>
      </c>
      <c r="N492" s="43" t="str">
        <f t="shared" si="35"/>
        <v>*decals*</v>
      </c>
      <c r="O492" s="43" t="str">
        <v>*fail*</v>
      </c>
      <c r="P492" s="43">
        <f t="shared" si="36"/>
        <v>2</v>
      </c>
      <c r="Q492" s="43" t="str">
        <v>*dynamic*</v>
      </c>
      <c r="R492" s="43">
        <v>2</v>
      </c>
      <c r="S492" s="43">
        <f t="shared" si="37"/>
        <v>2.65</v>
      </c>
      <c r="T492" s="43">
        <f t="shared" si="38"/>
        <v>1</v>
      </c>
    </row>
    <row r="493" spans="7:20">
      <c r="G493" s="62" cm="1">
        <f t="array" ref="G493">INDEX($D:$D, MATCH(1, (H493 &gt;= $B:$B) * (H493 &lt;= $C:$C), 0))</f>
        <v>10</v>
      </c>
      <c r="H493" s="28">
        <v>46068</v>
      </c>
      <c r="I493" s="29" t="s">
        <v>28</v>
      </c>
      <c r="J493" s="29">
        <v>4</v>
      </c>
      <c r="K493" s="30" t="s">
        <v>309</v>
      </c>
      <c r="M493" s="43" t="str">
        <v>Redesign</v>
      </c>
      <c r="N493" s="43" t="str">
        <f t="shared" si="35"/>
        <v>*redesign*</v>
      </c>
      <c r="O493" s="43" t="str">
        <v>*connect*</v>
      </c>
      <c r="P493" s="43">
        <f t="shared" si="36"/>
        <v>1</v>
      </c>
      <c r="Q493" s="43" t="str">
        <v>*investig*</v>
      </c>
      <c r="R493" s="43">
        <v>2</v>
      </c>
      <c r="S493" s="43">
        <f t="shared" si="37"/>
        <v>2.65</v>
      </c>
      <c r="T493" s="43">
        <f t="shared" si="38"/>
        <v>1</v>
      </c>
    </row>
    <row r="494" spans="7:20" ht="30">
      <c r="G494" s="62" cm="1">
        <f t="array" ref="G494">INDEX($D:$D, MATCH(1, (H494 &gt;= $B:$B) * (H494 &lt;= $C:$C), 0))</f>
        <v>10</v>
      </c>
      <c r="H494" s="28">
        <v>46068</v>
      </c>
      <c r="I494" s="29" t="s">
        <v>26</v>
      </c>
      <c r="J494" s="29">
        <v>4</v>
      </c>
      <c r="K494" s="30" t="s">
        <v>310</v>
      </c>
      <c r="M494" s="43" t="str">
        <v>Rework</v>
      </c>
      <c r="N494" s="43" t="str">
        <f t="shared" si="35"/>
        <v>*rework*</v>
      </c>
      <c r="O494" s="43" t="str">
        <v>*categories*</v>
      </c>
      <c r="P494" s="43">
        <f t="shared" si="36"/>
        <v>1</v>
      </c>
      <c r="Q494" s="43" t="str">
        <v>*sequences*</v>
      </c>
      <c r="R494" s="43">
        <v>2</v>
      </c>
      <c r="S494" s="43">
        <f t="shared" si="37"/>
        <v>2.65</v>
      </c>
      <c r="T494" s="43">
        <f t="shared" si="38"/>
        <v>1</v>
      </c>
    </row>
    <row r="495" spans="7:20">
      <c r="G495" s="62" cm="1">
        <f t="array" ref="G495">INDEX($D:$D, MATCH(1, (H495 &gt;= $B:$B) * (H495 &lt;= $C:$C), 0))</f>
        <v>10</v>
      </c>
      <c r="H495" s="28">
        <v>46068</v>
      </c>
      <c r="I495" s="29" t="s">
        <v>16</v>
      </c>
      <c r="J495" s="29">
        <v>2</v>
      </c>
      <c r="K495" s="30" t="s">
        <v>311</v>
      </c>
      <c r="M495" s="43" t="str">
        <v>Stack</v>
      </c>
      <c r="N495" s="43" t="str">
        <f t="shared" si="35"/>
        <v>*stack*</v>
      </c>
      <c r="O495" s="43" t="str">
        <v>*reskin*</v>
      </c>
      <c r="P495" s="43">
        <f t="shared" si="36"/>
        <v>1</v>
      </c>
      <c r="Q495" s="43" t="str">
        <v>*npc*</v>
      </c>
      <c r="R495" s="43">
        <v>2</v>
      </c>
      <c r="S495" s="43">
        <f t="shared" si="37"/>
        <v>2.65</v>
      </c>
      <c r="T495" s="43">
        <f t="shared" si="38"/>
        <v>1</v>
      </c>
    </row>
    <row r="496" spans="7:20">
      <c r="G496" s="62" cm="1">
        <f t="array" ref="G496">INDEX($D:$D, MATCH(1, (H496 &gt;= $B:$B) * (H496 &lt;= $C:$C), 0))</f>
        <v>10</v>
      </c>
      <c r="H496" s="28">
        <v>46065</v>
      </c>
      <c r="I496" s="29" t="s">
        <v>78</v>
      </c>
      <c r="J496" s="29">
        <v>1</v>
      </c>
      <c r="K496" s="30" t="s">
        <v>312</v>
      </c>
      <c r="M496" s="43" t="str">
        <v>Controllers</v>
      </c>
      <c r="N496" s="43" t="str">
        <f t="shared" si="35"/>
        <v>*controllers*</v>
      </c>
      <c r="O496" s="43" t="str">
        <v>*controls*</v>
      </c>
      <c r="P496" s="43">
        <f t="shared" si="36"/>
        <v>1</v>
      </c>
      <c r="Q496" s="43" t="str">
        <v>*models*</v>
      </c>
      <c r="R496" s="43">
        <v>2</v>
      </c>
      <c r="S496" s="43">
        <f t="shared" si="37"/>
        <v>2.65</v>
      </c>
      <c r="T496" s="43">
        <f t="shared" si="38"/>
        <v>1</v>
      </c>
    </row>
    <row r="497" spans="7:20">
      <c r="G497" s="62" cm="1">
        <f t="array" ref="G497">INDEX($D:$D, MATCH(1, (H497 &gt;= $B:$B) * (H497 &lt;= $C:$C), 0))</f>
        <v>10</v>
      </c>
      <c r="H497" s="28">
        <v>46065</v>
      </c>
      <c r="I497" s="29" t="s">
        <v>34</v>
      </c>
      <c r="J497" s="29">
        <v>1</v>
      </c>
      <c r="K497" s="30" t="s">
        <v>312</v>
      </c>
      <c r="M497" s="43" t="str">
        <v>mode</v>
      </c>
      <c r="N497" s="43" t="str">
        <f t="shared" si="35"/>
        <v>*mode*</v>
      </c>
      <c r="O497" s="43" t="str">
        <v>*a*</v>
      </c>
      <c r="P497" s="43">
        <f t="shared" si="36"/>
        <v>572</v>
      </c>
      <c r="Q497" s="43" t="str">
        <v>*dad*</v>
      </c>
      <c r="R497" s="43">
        <v>2</v>
      </c>
      <c r="S497" s="43">
        <f t="shared" si="37"/>
        <v>2.65</v>
      </c>
      <c r="T497" s="43">
        <f t="shared" si="38"/>
        <v>1</v>
      </c>
    </row>
    <row r="498" spans="7:20">
      <c r="G498" s="62" cm="1">
        <f t="array" ref="G498">INDEX($D:$D, MATCH(1, (H498 &gt;= $B:$B) * (H498 &lt;= $C:$C), 0))</f>
        <v>10</v>
      </c>
      <c r="H498" s="28">
        <v>46068</v>
      </c>
      <c r="I498" s="29" t="s">
        <v>78</v>
      </c>
      <c r="J498" s="29">
        <v>0.5</v>
      </c>
      <c r="K498" s="30" t="s">
        <v>312</v>
      </c>
      <c r="M498" s="43" t="str">
        <v>use</v>
      </c>
      <c r="N498" s="43" t="str">
        <f t="shared" si="35"/>
        <v>*use*</v>
      </c>
      <c r="O498" s="43" t="str">
        <v>*pegs*</v>
      </c>
      <c r="P498" s="43">
        <f t="shared" si="36"/>
        <v>8</v>
      </c>
      <c r="Q498" s="43" t="str">
        <v>*queen*</v>
      </c>
      <c r="R498" s="43">
        <v>2</v>
      </c>
      <c r="S498" s="43">
        <f t="shared" si="37"/>
        <v>2.65</v>
      </c>
      <c r="T498" s="43">
        <f t="shared" si="38"/>
        <v>1</v>
      </c>
    </row>
    <row r="499" spans="7:20">
      <c r="G499" s="62" cm="1">
        <f t="array" ref="G499">INDEX($D:$D, MATCH(1, (H499 &gt;= $B:$B) * (H499 &lt;= $C:$C), 0))</f>
        <v>10</v>
      </c>
      <c r="H499" s="28">
        <v>46068</v>
      </c>
      <c r="I499" s="29" t="s">
        <v>34</v>
      </c>
      <c r="J499" s="29">
        <v>0.5</v>
      </c>
      <c r="K499" s="30" t="s">
        <v>312</v>
      </c>
      <c r="M499" s="43" t="str">
        <v>Controller</v>
      </c>
      <c r="N499" s="43" t="str">
        <f t="shared" si="35"/>
        <v>*controller*</v>
      </c>
      <c r="O499" s="43" t="str">
        <v>*upd*</v>
      </c>
      <c r="P499" s="43">
        <f t="shared" si="36"/>
        <v>7</v>
      </c>
      <c r="Q499" s="43" t="str">
        <v>*princess*</v>
      </c>
      <c r="R499" s="43">
        <v>2</v>
      </c>
      <c r="S499" s="43">
        <f t="shared" si="37"/>
        <v>2.65</v>
      </c>
      <c r="T499" s="43">
        <f t="shared" si="38"/>
        <v>1</v>
      </c>
    </row>
    <row r="500" spans="7:20">
      <c r="G500" s="62" cm="1">
        <f t="array" ref="G500">INDEX($D:$D, MATCH(1, (H500 &gt;= $B:$B) * (H500 &lt;= $C:$C), 0))</f>
        <v>10</v>
      </c>
      <c r="H500" s="28">
        <v>46069</v>
      </c>
      <c r="I500" s="29" t="s">
        <v>78</v>
      </c>
      <c r="J500" s="29">
        <v>1</v>
      </c>
      <c r="K500" s="30" t="s">
        <v>313</v>
      </c>
      <c r="M500" s="43" t="str">
        <v>modular</v>
      </c>
      <c r="N500" s="43" t="str">
        <f t="shared" si="35"/>
        <v>*modular*</v>
      </c>
      <c r="O500" s="43" t="str">
        <v>*layout*</v>
      </c>
      <c r="P500" s="43">
        <f t="shared" si="36"/>
        <v>1</v>
      </c>
      <c r="Q500" s="43" t="str">
        <v>*cards*</v>
      </c>
      <c r="R500" s="43">
        <v>2</v>
      </c>
      <c r="S500" s="43">
        <f t="shared" si="37"/>
        <v>2.65</v>
      </c>
      <c r="T500" s="43">
        <f t="shared" si="38"/>
        <v>1</v>
      </c>
    </row>
    <row r="501" spans="7:20">
      <c r="G501" s="62" cm="1">
        <f t="array" ref="G501">INDEX($D:$D, MATCH(1, (H501 &gt;= $B:$B) * (H501 &lt;= $C:$C), 0))</f>
        <v>10</v>
      </c>
      <c r="H501" s="28">
        <v>46069</v>
      </c>
      <c r="I501" s="29" t="s">
        <v>24</v>
      </c>
      <c r="J501" s="29">
        <v>1.25</v>
      </c>
      <c r="K501" s="30" t="s">
        <v>77</v>
      </c>
      <c r="M501" s="43" t="str">
        <v>camera</v>
      </c>
      <c r="N501" s="43" t="str">
        <f t="shared" si="35"/>
        <v>*camera*</v>
      </c>
      <c r="O501" s="43" t="str">
        <v>*modeled*</v>
      </c>
      <c r="P501" s="43">
        <f t="shared" si="36"/>
        <v>1</v>
      </c>
      <c r="Q501" s="43" t="str">
        <v>*jira*</v>
      </c>
      <c r="R501" s="43">
        <v>1</v>
      </c>
      <c r="S501" s="43">
        <f t="shared" si="37"/>
        <v>2.95</v>
      </c>
      <c r="T501" s="43">
        <f t="shared" si="38"/>
        <v>1.1100000000000001</v>
      </c>
    </row>
    <row r="502" spans="7:20">
      <c r="G502" s="62" cm="1">
        <f t="array" ref="G502">INDEX($D:$D, MATCH(1, (H502 &gt;= $B:$B) * (H502 &lt;= $C:$C), 0))</f>
        <v>10</v>
      </c>
      <c r="H502" s="28">
        <v>46069</v>
      </c>
      <c r="I502" s="29" t="s">
        <v>16</v>
      </c>
      <c r="J502" s="29">
        <v>1.25</v>
      </c>
      <c r="K502" s="30" t="s">
        <v>77</v>
      </c>
      <c r="M502" s="43" t="str">
        <v>Asset</v>
      </c>
      <c r="N502" s="43" t="str">
        <f t="shared" si="35"/>
        <v>*asset*</v>
      </c>
      <c r="O502" s="43" t="str">
        <v>*low*</v>
      </c>
      <c r="P502" s="43">
        <f t="shared" si="36"/>
        <v>5</v>
      </c>
      <c r="Q502" s="43" t="str">
        <v>*tunnel*</v>
      </c>
      <c r="R502" s="43">
        <v>1</v>
      </c>
      <c r="S502" s="43">
        <f t="shared" si="37"/>
        <v>2.95</v>
      </c>
      <c r="T502" s="43">
        <f t="shared" si="38"/>
        <v>1</v>
      </c>
    </row>
    <row r="503" spans="7:20">
      <c r="G503" s="62" cm="1">
        <f t="array" ref="G503">INDEX($D:$D, MATCH(1, (H503 &gt;= $B:$B) * (H503 &lt;= $C:$C), 0))</f>
        <v>10</v>
      </c>
      <c r="H503" s="28">
        <v>46069</v>
      </c>
      <c r="I503" s="29" t="s">
        <v>26</v>
      </c>
      <c r="J503" s="29">
        <v>1.25</v>
      </c>
      <c r="K503" s="30" t="s">
        <v>77</v>
      </c>
      <c r="M503" s="43" t="str">
        <v>Updating</v>
      </c>
      <c r="N503" s="43" t="str">
        <f t="shared" si="35"/>
        <v>*updat*</v>
      </c>
      <c r="O503" s="43" t="str">
        <v>*poly*</v>
      </c>
      <c r="P503" s="43">
        <f t="shared" si="36"/>
        <v>1</v>
      </c>
      <c r="Q503" s="43" t="str">
        <v>*robot*</v>
      </c>
      <c r="R503" s="43">
        <v>1</v>
      </c>
      <c r="S503" s="43">
        <f t="shared" si="37"/>
        <v>2.95</v>
      </c>
      <c r="T503" s="43">
        <f t="shared" si="38"/>
        <v>1</v>
      </c>
    </row>
    <row r="504" spans="7:20">
      <c r="G504" s="62" cm="1">
        <f t="array" ref="G504">INDEX($D:$D, MATCH(1, (H504 &gt;= $B:$B) * (H504 &lt;= $C:$C), 0))</f>
        <v>10</v>
      </c>
      <c r="H504" s="28">
        <v>46069</v>
      </c>
      <c r="I504" s="29" t="s">
        <v>28</v>
      </c>
      <c r="J504" s="29">
        <v>1.25</v>
      </c>
      <c r="K504" s="30" t="s">
        <v>77</v>
      </c>
      <c r="M504" s="43" t="str">
        <v>changes,</v>
      </c>
      <c r="N504" s="43" t="str">
        <f t="shared" ref="N504:N567" si="39">_xlfn.CONCAT("*",TRIM(CLEAN(_xlfn.REGEXREPLACE(LOWER($M504),$N$51,""))),"*")</f>
        <v>*changes*</v>
      </c>
      <c r="O504" s="43" t="str">
        <v>*drum*</v>
      </c>
      <c r="P504" s="43">
        <f t="shared" ref="P504:P567" si="40">COUNTIF($K$5:$K$1000,$O504)</f>
        <v>4</v>
      </c>
      <c r="Q504" s="43" t="str">
        <v>*sail*</v>
      </c>
      <c r="R504" s="43">
        <v>1</v>
      </c>
      <c r="S504" s="43">
        <f t="shared" ref="S504:S567" si="41">ROUND(LOG(COUNTA($M$54:$M$1000)/R504,10),2)</f>
        <v>2.95</v>
      </c>
      <c r="T504" s="43">
        <f t="shared" si="38"/>
        <v>1</v>
      </c>
    </row>
    <row r="505" spans="7:20">
      <c r="G505" s="62" cm="1">
        <f t="array" ref="G505">INDEX($D:$D, MATCH(1, (H505 &gt;= $B:$B) * (H505 &lt;= $C:$C), 0))</f>
        <v>10</v>
      </c>
      <c r="H505" s="28">
        <v>46069</v>
      </c>
      <c r="I505" s="29" t="s">
        <v>78</v>
      </c>
      <c r="J505" s="29">
        <v>1.25</v>
      </c>
      <c r="K505" s="30" t="s">
        <v>77</v>
      </c>
      <c r="M505" s="43" t="str">
        <v>interact</v>
      </c>
      <c r="N505" s="43" t="str">
        <f t="shared" si="39"/>
        <v>*interact*</v>
      </c>
      <c r="O505" s="43" t="str">
        <v>*notes*</v>
      </c>
      <c r="P505" s="43">
        <f t="shared" si="40"/>
        <v>4</v>
      </c>
      <c r="Q505" s="43" t="str">
        <v>*ravensgard*</v>
      </c>
      <c r="R505" s="43">
        <v>1</v>
      </c>
      <c r="S505" s="43">
        <f t="shared" si="41"/>
        <v>2.95</v>
      </c>
      <c r="T505" s="43">
        <f t="shared" ref="T505:T568" si="42">ROUND($S505/$S504,2)</f>
        <v>1</v>
      </c>
    </row>
    <row r="506" spans="7:20">
      <c r="G506" s="62" cm="1">
        <f t="array" ref="G506">INDEX($D:$D, MATCH(1, (H506 &gt;= $B:$B) * (H506 &lt;= $C:$C), 0))</f>
        <v>10</v>
      </c>
      <c r="H506" s="28">
        <v>46069</v>
      </c>
      <c r="I506" s="29" t="s">
        <v>34</v>
      </c>
      <c r="J506" s="29">
        <v>1.25</v>
      </c>
      <c r="K506" s="30" t="s">
        <v>77</v>
      </c>
      <c r="M506" s="43" t="str">
        <v>prompt</v>
      </c>
      <c r="N506" s="43" t="str">
        <f t="shared" si="39"/>
        <v>*prompt*</v>
      </c>
      <c r="O506" s="43" t="str">
        <v>*needed*</v>
      </c>
      <c r="P506" s="43">
        <f t="shared" si="40"/>
        <v>1</v>
      </c>
      <c r="Q506" s="43" t="str">
        <v>*bolinger*</v>
      </c>
      <c r="R506" s="43">
        <v>1</v>
      </c>
      <c r="S506" s="43">
        <f t="shared" si="41"/>
        <v>2.95</v>
      </c>
      <c r="T506" s="43">
        <f t="shared" si="42"/>
        <v>1</v>
      </c>
    </row>
    <row r="507" spans="7:20">
      <c r="G507" s="62" cm="1">
        <f t="array" ref="G507">INDEX($D:$D, MATCH(1, (H507 &gt;= $B:$B) * (H507 &lt;= $C:$C), 0))</f>
        <v>10</v>
      </c>
      <c r="H507" s="28">
        <v>46069</v>
      </c>
      <c r="I507" s="29" t="s">
        <v>28</v>
      </c>
      <c r="J507" s="29">
        <v>1</v>
      </c>
      <c r="K507" s="30" t="s">
        <v>314</v>
      </c>
      <c r="M507" s="43" t="str">
        <v>outline</v>
      </c>
      <c r="N507" s="43" t="str">
        <f t="shared" si="39"/>
        <v>*outline*</v>
      </c>
      <c r="O507" s="43" t="str">
        <v>*had*</v>
      </c>
      <c r="P507" s="43">
        <f t="shared" si="40"/>
        <v>1</v>
      </c>
      <c r="Q507" s="43" t="str">
        <v>*gaea*</v>
      </c>
      <c r="R507" s="43">
        <v>1</v>
      </c>
      <c r="S507" s="43">
        <f t="shared" si="41"/>
        <v>2.95</v>
      </c>
      <c r="T507" s="43">
        <f t="shared" si="42"/>
        <v>1</v>
      </c>
    </row>
    <row r="508" spans="7:20">
      <c r="G508" s="62" cm="1">
        <f t="array" ref="G508">INDEX($D:$D, MATCH(1, (H508 &gt;= $B:$B) * (H508 &lt;= $C:$C), 0))</f>
        <v>10</v>
      </c>
      <c r="H508" s="28">
        <v>46069</v>
      </c>
      <c r="I508" s="29" t="s">
        <v>26</v>
      </c>
      <c r="J508" s="29">
        <v>1</v>
      </c>
      <c r="K508" s="30" t="s">
        <v>314</v>
      </c>
      <c r="M508" s="43" t="str">
        <v>vines</v>
      </c>
      <c r="N508" s="43" t="str">
        <f t="shared" si="39"/>
        <v>*vines*</v>
      </c>
      <c r="O508" s="43" t="str">
        <v>*bit*</v>
      </c>
      <c r="P508" s="43">
        <f t="shared" si="40"/>
        <v>1</v>
      </c>
      <c r="Q508" s="43" t="str">
        <v>*appearance*</v>
      </c>
      <c r="R508" s="43">
        <v>1</v>
      </c>
      <c r="S508" s="43">
        <f t="shared" si="41"/>
        <v>2.95</v>
      </c>
      <c r="T508" s="43">
        <f t="shared" si="42"/>
        <v>1</v>
      </c>
    </row>
    <row r="509" spans="7:20">
      <c r="G509" s="62" cm="1">
        <f t="array" ref="G509">INDEX($D:$D, MATCH(1, (H509 &gt;= $B:$B) * (H509 &lt;= $C:$C), 0))</f>
        <v>10</v>
      </c>
      <c r="H509" s="28">
        <v>46072</v>
      </c>
      <c r="I509" s="29" t="s">
        <v>28</v>
      </c>
      <c r="J509" s="29">
        <v>1</v>
      </c>
      <c r="K509" s="30" t="s">
        <v>315</v>
      </c>
      <c r="M509" s="43" t="str">
        <v>Sliding</v>
      </c>
      <c r="N509" s="43" t="str">
        <f t="shared" si="39"/>
        <v>*slid*</v>
      </c>
      <c r="O509" s="43" t="str">
        <v>*stone*</v>
      </c>
      <c r="P509" s="43">
        <f t="shared" si="40"/>
        <v>17</v>
      </c>
      <c r="Q509" s="43" t="str">
        <v>*workspace*</v>
      </c>
      <c r="R509" s="43">
        <v>1</v>
      </c>
      <c r="S509" s="43">
        <f t="shared" si="41"/>
        <v>2.95</v>
      </c>
      <c r="T509" s="43">
        <f t="shared" si="42"/>
        <v>1</v>
      </c>
    </row>
    <row r="510" spans="7:20">
      <c r="G510" s="62" cm="1">
        <f t="array" ref="G510">INDEX($D:$D, MATCH(1, (H510 &gt;= $B:$B) * (H510 &lt;= $C:$C), 0))</f>
        <v>10</v>
      </c>
      <c r="H510" s="28">
        <v>46072</v>
      </c>
      <c r="I510" s="29" t="s">
        <v>26</v>
      </c>
      <c r="J510" s="29">
        <v>1</v>
      </c>
      <c r="K510" s="30" t="s">
        <v>315</v>
      </c>
      <c r="M510" s="43" t="str">
        <v>Block</v>
      </c>
      <c r="N510" s="43" t="str">
        <f t="shared" si="39"/>
        <v>*block*</v>
      </c>
      <c r="O510" s="43" t="str">
        <v>*tiles*</v>
      </c>
      <c r="P510" s="43">
        <f t="shared" si="40"/>
        <v>1</v>
      </c>
      <c r="Q510" s="43" t="str">
        <v>*licens*</v>
      </c>
      <c r="R510" s="43">
        <v>1</v>
      </c>
      <c r="S510" s="43">
        <f t="shared" si="41"/>
        <v>2.95</v>
      </c>
      <c r="T510" s="43">
        <f t="shared" si="42"/>
        <v>1</v>
      </c>
    </row>
    <row r="511" spans="7:20">
      <c r="G511" s="62" cm="1">
        <f t="array" ref="G511">INDEX($D:$D, MATCH(1, (H511 &gt;= $B:$B) * (H511 &lt;= $C:$C), 0))</f>
        <v>10</v>
      </c>
      <c r="H511" s="28">
        <v>46071</v>
      </c>
      <c r="I511" s="29" t="s">
        <v>28</v>
      </c>
      <c r="J511" s="29">
        <v>2</v>
      </c>
      <c r="K511" s="30" t="s">
        <v>316</v>
      </c>
      <c r="M511" s="43" t="str">
        <v>pick</v>
      </c>
      <c r="N511" s="43" t="str">
        <f t="shared" si="39"/>
        <v>*pick*</v>
      </c>
      <c r="O511" s="43" t="str">
        <v>*made*</v>
      </c>
      <c r="P511" s="43">
        <f t="shared" si="40"/>
        <v>2</v>
      </c>
      <c r="Q511" s="43" t="str">
        <v>*risk*</v>
      </c>
      <c r="R511" s="43">
        <v>1</v>
      </c>
      <c r="S511" s="43">
        <f t="shared" si="41"/>
        <v>2.95</v>
      </c>
      <c r="T511" s="43">
        <f t="shared" si="42"/>
        <v>1</v>
      </c>
    </row>
    <row r="512" spans="7:20">
      <c r="G512" s="62" cm="1">
        <f t="array" ref="G512">INDEX($D:$D, MATCH(1, (H512 &gt;= $B:$B) * (H512 &lt;= $C:$C), 0))</f>
        <v>10</v>
      </c>
      <c r="H512" s="28">
        <v>46073</v>
      </c>
      <c r="I512" s="29" t="s">
        <v>16</v>
      </c>
      <c r="J512" s="29">
        <v>1.5</v>
      </c>
      <c r="K512" s="30" t="s">
        <v>317</v>
      </c>
      <c r="M512" s="43" t="str">
        <v>up/put</v>
      </c>
      <c r="N512" s="43" t="str">
        <f t="shared" si="39"/>
        <v>*upput*</v>
      </c>
      <c r="O512" s="43" t="str">
        <v>*expand*</v>
      </c>
      <c r="P512" s="43">
        <f t="shared" si="40"/>
        <v>1</v>
      </c>
      <c r="Q512" s="43" t="str">
        <v>*assessment*</v>
      </c>
      <c r="R512" s="43">
        <v>1</v>
      </c>
      <c r="S512" s="43">
        <f t="shared" si="41"/>
        <v>2.95</v>
      </c>
      <c r="T512" s="43">
        <f t="shared" si="42"/>
        <v>1</v>
      </c>
    </row>
    <row r="513" spans="7:20" ht="30">
      <c r="G513" s="62" cm="1">
        <f t="array" ref="G513">INDEX($D:$D, MATCH(1, (H513 &gt;= $B:$B) * (H513 &lt;= $C:$C), 0))</f>
        <v>10</v>
      </c>
      <c r="H513" s="28">
        <v>46074</v>
      </c>
      <c r="I513" s="29" t="s">
        <v>28</v>
      </c>
      <c r="J513" s="29">
        <v>6</v>
      </c>
      <c r="K513" s="30" t="s">
        <v>318</v>
      </c>
      <c r="M513" s="43" t="str">
        <v>down</v>
      </c>
      <c r="N513" s="43" t="str">
        <f t="shared" si="39"/>
        <v>*down*</v>
      </c>
      <c r="O513" s="43" t="str">
        <v>*any*</v>
      </c>
      <c r="P513" s="43">
        <f t="shared" si="40"/>
        <v>6</v>
      </c>
      <c r="Q513" s="43" t="str">
        <v>*found*</v>
      </c>
      <c r="R513" s="43">
        <v>1</v>
      </c>
      <c r="S513" s="43">
        <f t="shared" si="41"/>
        <v>2.95</v>
      </c>
      <c r="T513" s="43">
        <f t="shared" si="42"/>
        <v>1</v>
      </c>
    </row>
    <row r="514" spans="7:20" ht="30">
      <c r="G514" s="62" cm="1">
        <f t="array" ref="G514">INDEX($D:$D, MATCH(1, (H514 &gt;= $B:$B) * (H514 &lt;= $C:$C), 0))</f>
        <v>10</v>
      </c>
      <c r="H514" s="28">
        <v>46074</v>
      </c>
      <c r="I514" s="29" t="s">
        <v>26</v>
      </c>
      <c r="J514" s="29">
        <v>6</v>
      </c>
      <c r="K514" s="30" t="s">
        <v>319</v>
      </c>
      <c r="M514" s="43" t="str">
        <v>woods</v>
      </c>
      <c r="N514" s="43" t="str">
        <f t="shared" si="39"/>
        <v>*woods*</v>
      </c>
      <c r="O514" s="43" t="str">
        <v>*size*</v>
      </c>
      <c r="P514" s="43">
        <f t="shared" si="40"/>
        <v>1</v>
      </c>
      <c r="Q514" s="43" t="str">
        <v>*licences*</v>
      </c>
      <c r="R514" s="43">
        <v>1</v>
      </c>
      <c r="S514" s="43">
        <f t="shared" si="41"/>
        <v>2.95</v>
      </c>
      <c r="T514" s="43">
        <f t="shared" si="42"/>
        <v>1</v>
      </c>
    </row>
    <row r="515" spans="7:20">
      <c r="G515" s="62" cm="1">
        <f t="array" ref="G515">INDEX($D:$D, MATCH(1, (H515 &gt;= $B:$B) * (H515 &lt;= $C:$C), 0))</f>
        <v>10</v>
      </c>
      <c r="H515" s="28">
        <v>46072</v>
      </c>
      <c r="I515" s="29" t="s">
        <v>78</v>
      </c>
      <c r="J515" s="29">
        <v>0.5</v>
      </c>
      <c r="K515" s="30" t="s">
        <v>312</v>
      </c>
      <c r="M515" s="43" t="str">
        <v>classes</v>
      </c>
      <c r="N515" s="43" t="str">
        <f t="shared" si="39"/>
        <v>*classes*</v>
      </c>
      <c r="O515" s="43" t="str">
        <v>*confirm*</v>
      </c>
      <c r="P515" s="43">
        <f t="shared" si="40"/>
        <v>2</v>
      </c>
      <c r="Q515" s="43" t="str">
        <v>*teammates*</v>
      </c>
      <c r="R515" s="43">
        <v>1</v>
      </c>
      <c r="S515" s="43">
        <f t="shared" si="41"/>
        <v>2.95</v>
      </c>
      <c r="T515" s="43">
        <f t="shared" si="42"/>
        <v>1</v>
      </c>
    </row>
    <row r="516" spans="7:20">
      <c r="G516" s="62" cm="1">
        <f t="array" ref="G516">INDEX($D:$D, MATCH(1, (H516 &gt;= $B:$B) * (H516 &lt;= $C:$C), 0))</f>
        <v>10</v>
      </c>
      <c r="H516" s="28">
        <v>46072</v>
      </c>
      <c r="I516" s="29" t="s">
        <v>34</v>
      </c>
      <c r="J516" s="29">
        <v>0.5</v>
      </c>
      <c r="K516" s="30" t="s">
        <v>312</v>
      </c>
      <c r="M516" s="43" t="str">
        <v>schema</v>
      </c>
      <c r="N516" s="43" t="str">
        <f t="shared" si="39"/>
        <v>*schema*</v>
      </c>
      <c r="O516" s="43" t="str">
        <v>*dialog*</v>
      </c>
      <c r="P516" s="43">
        <f t="shared" si="40"/>
        <v>5</v>
      </c>
      <c r="Q516" s="43" t="str">
        <v>*commit*</v>
      </c>
      <c r="R516" s="43">
        <v>1</v>
      </c>
      <c r="S516" s="43">
        <f t="shared" si="41"/>
        <v>2.95</v>
      </c>
      <c r="T516" s="43">
        <f t="shared" si="42"/>
        <v>1</v>
      </c>
    </row>
    <row r="517" spans="7:20">
      <c r="G517" s="62" cm="1">
        <f t="array" ref="G517">INDEX($D:$D, MATCH(1, (H517 &gt;= $B:$B) * (H517 &lt;= $C:$C), 0))</f>
        <v>10</v>
      </c>
      <c r="H517" s="28">
        <v>46074</v>
      </c>
      <c r="I517" s="29" t="s">
        <v>78</v>
      </c>
      <c r="J517" s="29">
        <v>0.5</v>
      </c>
      <c r="K517" s="30" t="s">
        <v>320</v>
      </c>
      <c r="M517" s="43" t="str">
        <v>Clearing</v>
      </c>
      <c r="N517" s="43" t="str">
        <f t="shared" si="39"/>
        <v>*clear*</v>
      </c>
      <c r="O517" s="43" t="str">
        <v>*exit*</v>
      </c>
      <c r="P517" s="43">
        <f t="shared" si="40"/>
        <v>1</v>
      </c>
      <c r="Q517" s="43" t="str">
        <v>*preliminary*</v>
      </c>
      <c r="R517" s="43">
        <v>1</v>
      </c>
      <c r="S517" s="43">
        <f t="shared" si="41"/>
        <v>2.95</v>
      </c>
      <c r="T517" s="43">
        <f t="shared" si="42"/>
        <v>1</v>
      </c>
    </row>
    <row r="518" spans="7:20" ht="30">
      <c r="G518" s="62" cm="1">
        <f t="array" ref="G518">INDEX($D:$D, MATCH(1, (H518 &gt;= $B:$B) * (H518 &lt;= $C:$C), 0))</f>
        <v>10</v>
      </c>
      <c r="H518" s="28">
        <v>46074</v>
      </c>
      <c r="I518" s="29" t="s">
        <v>16</v>
      </c>
      <c r="J518" s="29">
        <v>2</v>
      </c>
      <c r="K518" s="30" t="s">
        <v>321</v>
      </c>
      <c r="M518" s="43" t="str">
        <v>section</v>
      </c>
      <c r="N518" s="43" t="str">
        <f t="shared" si="39"/>
        <v>*sec*</v>
      </c>
      <c r="O518" s="43" t="str">
        <v>*fixes*</v>
      </c>
      <c r="P518" s="43">
        <f t="shared" si="40"/>
        <v>12</v>
      </c>
      <c r="Q518" s="43" t="str">
        <v>*paint*</v>
      </c>
      <c r="R518" s="43">
        <v>1</v>
      </c>
      <c r="S518" s="43">
        <f t="shared" si="41"/>
        <v>2.95</v>
      </c>
      <c r="T518" s="43">
        <f t="shared" si="42"/>
        <v>1</v>
      </c>
    </row>
    <row r="519" spans="7:20" ht="30">
      <c r="G519" s="62" cm="1">
        <f t="array" ref="G519">INDEX($D:$D, MATCH(1, (H519 &gt;= $B:$B) * (H519 &lt;= $C:$C), 0))</f>
        <v>10</v>
      </c>
      <c r="H519" s="28">
        <v>46075</v>
      </c>
      <c r="I519" s="29" t="s">
        <v>28</v>
      </c>
      <c r="J519" s="29">
        <v>4</v>
      </c>
      <c r="K519" s="30" t="s">
        <v>322</v>
      </c>
      <c r="M519" s="43" t="str">
        <v>troubleshooting</v>
      </c>
      <c r="N519" s="43" t="str">
        <f t="shared" si="39"/>
        <v>*troubleshoot*</v>
      </c>
      <c r="O519" s="43" t="str">
        <v>*ful*</v>
      </c>
      <c r="P519" s="43">
        <f t="shared" si="40"/>
        <v>2</v>
      </c>
      <c r="Q519" s="43" t="str">
        <v>*layers*</v>
      </c>
      <c r="R519" s="43">
        <v>1</v>
      </c>
      <c r="S519" s="43">
        <f t="shared" si="41"/>
        <v>2.95</v>
      </c>
      <c r="T519" s="43">
        <f t="shared" si="42"/>
        <v>1</v>
      </c>
    </row>
    <row r="520" spans="7:20">
      <c r="G520" s="62" cm="1">
        <f t="array" ref="G520">INDEX($D:$D, MATCH(1, (H520 &gt;= $B:$B) * (H520 &lt;= $C:$C), 0))</f>
        <v>10</v>
      </c>
      <c r="H520" s="28">
        <v>46075</v>
      </c>
      <c r="I520" s="29" t="s">
        <v>26</v>
      </c>
      <c r="J520" s="29">
        <v>5</v>
      </c>
      <c r="K520" s="30" t="s">
        <v>323</v>
      </c>
      <c r="M520" s="43" t="str">
        <v>note</v>
      </c>
      <c r="N520" s="43" t="str">
        <f t="shared" si="39"/>
        <v>*note*</v>
      </c>
      <c r="O520" s="43" t="str">
        <v>*works*</v>
      </c>
      <c r="P520" s="43">
        <f t="shared" si="40"/>
        <v>2</v>
      </c>
      <c r="Q520" s="43" t="str">
        <v>*palisade*</v>
      </c>
      <c r="R520" s="43">
        <v>1</v>
      </c>
      <c r="S520" s="43">
        <f t="shared" si="41"/>
        <v>2.95</v>
      </c>
      <c r="T520" s="43">
        <f t="shared" si="42"/>
        <v>1</v>
      </c>
    </row>
    <row r="521" spans="7:20">
      <c r="G521" s="62" cm="1">
        <f t="array" ref="G521">INDEX($D:$D, MATCH(1, (H521 &gt;= $B:$B) * (H521 &lt;= $C:$C), 0))</f>
        <v>10</v>
      </c>
      <c r="H521" s="28">
        <v>46075</v>
      </c>
      <c r="I521" s="29" t="s">
        <v>78</v>
      </c>
      <c r="J521" s="29">
        <v>0.5</v>
      </c>
      <c r="K521" s="30" t="s">
        <v>312</v>
      </c>
      <c r="M521" s="43" t="str">
        <v>Finished</v>
      </c>
      <c r="N521" s="43" t="str">
        <f t="shared" si="39"/>
        <v>*finished*</v>
      </c>
      <c r="O521" s="43" t="str">
        <v>*proper*</v>
      </c>
      <c r="P521" s="43">
        <f t="shared" si="40"/>
        <v>1</v>
      </c>
      <c r="Q521" s="43" t="str">
        <v>*restart*</v>
      </c>
      <c r="R521" s="43">
        <v>1</v>
      </c>
      <c r="S521" s="43">
        <f t="shared" si="41"/>
        <v>2.95</v>
      </c>
      <c r="T521" s="43">
        <f t="shared" si="42"/>
        <v>1</v>
      </c>
    </row>
    <row r="522" spans="7:20">
      <c r="G522" s="62" cm="1">
        <f t="array" ref="G522">INDEX($D:$D, MATCH(1, (H522 &gt;= $B:$B) * (H522 &lt;= $C:$C), 0))</f>
        <v>10</v>
      </c>
      <c r="H522" s="28">
        <v>46075</v>
      </c>
      <c r="I522" s="29" t="s">
        <v>34</v>
      </c>
      <c r="J522" s="29">
        <v>0.5</v>
      </c>
      <c r="K522" s="30" t="s">
        <v>312</v>
      </c>
      <c r="M522" s="43" t="str">
        <v>area</v>
      </c>
      <c r="N522" s="43" t="str">
        <f t="shared" si="39"/>
        <v>*area*</v>
      </c>
      <c r="O522" s="43" t="str">
        <v>*aside*</v>
      </c>
      <c r="P522" s="43">
        <f t="shared" si="40"/>
        <v>1</v>
      </c>
      <c r="Q522" s="43" t="str">
        <v>*shells*</v>
      </c>
      <c r="R522" s="43">
        <v>1</v>
      </c>
      <c r="S522" s="43">
        <f t="shared" si="41"/>
        <v>2.95</v>
      </c>
      <c r="T522" s="43">
        <f t="shared" si="42"/>
        <v>1</v>
      </c>
    </row>
    <row r="523" spans="7:20">
      <c r="G523" s="62" cm="1">
        <f t="array" ref="G523">INDEX($D:$D, MATCH(1, (H523 &gt;= $B:$B) * (H523 &lt;= $C:$C), 0))</f>
        <v>10</v>
      </c>
      <c r="H523" s="28">
        <v>46075</v>
      </c>
      <c r="I523" s="29" t="s">
        <v>78</v>
      </c>
      <c r="J523" s="29">
        <v>2</v>
      </c>
      <c r="K523" s="30" t="s">
        <v>324</v>
      </c>
      <c r="M523" s="43" t="str">
        <v>restoration</v>
      </c>
      <c r="N523" s="43" t="str">
        <f t="shared" si="39"/>
        <v>*restora*</v>
      </c>
      <c r="O523" s="43" t="str">
        <v>*con*</v>
      </c>
      <c r="P523" s="43">
        <f t="shared" si="40"/>
        <v>19</v>
      </c>
      <c r="Q523" s="43" t="str">
        <v>*coral*</v>
      </c>
      <c r="R523" s="43">
        <v>1</v>
      </c>
      <c r="S523" s="43">
        <f t="shared" si="41"/>
        <v>2.95</v>
      </c>
      <c r="T523" s="43">
        <f t="shared" si="42"/>
        <v>1</v>
      </c>
    </row>
    <row r="524" spans="7:20" ht="30">
      <c r="G524" s="62" cm="1">
        <f t="array" ref="G524">INDEX($D:$D, MATCH(1, (H524 &gt;= $B:$B) * (H524 &lt;= $C:$C), 0))</f>
        <v>10</v>
      </c>
      <c r="H524" s="28">
        <v>46076</v>
      </c>
      <c r="I524" s="29" t="s">
        <v>78</v>
      </c>
      <c r="J524" s="29">
        <v>2</v>
      </c>
      <c r="K524" s="30" t="s">
        <v>325</v>
      </c>
      <c r="M524" s="43" t="str">
        <v>bug</v>
      </c>
      <c r="N524" s="43" t="str">
        <f t="shared" si="39"/>
        <v>*bug*</v>
      </c>
      <c r="O524" s="43" t="str">
        <v>*checker*</v>
      </c>
      <c r="P524" s="43">
        <f t="shared" si="40"/>
        <v>1</v>
      </c>
      <c r="Q524" s="43" t="str">
        <v>*prepar*</v>
      </c>
      <c r="R524" s="43">
        <v>1</v>
      </c>
      <c r="S524" s="43">
        <f t="shared" si="41"/>
        <v>2.95</v>
      </c>
      <c r="T524" s="43">
        <f t="shared" si="42"/>
        <v>1</v>
      </c>
    </row>
    <row r="525" spans="7:20" ht="75">
      <c r="G525" s="62" cm="1">
        <f t="array" ref="G525">INDEX($D:$D, MATCH(1, (H525 &gt;= $B:$B) * (H525 &lt;= $C:$C), 0))</f>
        <v>10</v>
      </c>
      <c r="H525" s="28">
        <v>46076</v>
      </c>
      <c r="I525" s="29" t="s">
        <v>34</v>
      </c>
      <c r="J525" s="29">
        <v>10</v>
      </c>
      <c r="K525" s="30" t="s">
        <v>326</v>
      </c>
      <c r="M525" s="43" t="str">
        <v>pick-up</v>
      </c>
      <c r="N525" s="43" t="str">
        <f t="shared" si="39"/>
        <v>*pickup*</v>
      </c>
      <c r="O525" s="43" t="str">
        <v>*persistent*</v>
      </c>
      <c r="P525" s="43">
        <f t="shared" si="40"/>
        <v>1</v>
      </c>
      <c r="Q525" s="43" t="str">
        <v>*rocks*</v>
      </c>
      <c r="R525" s="43">
        <v>1</v>
      </c>
      <c r="S525" s="43">
        <f t="shared" si="41"/>
        <v>2.95</v>
      </c>
      <c r="T525" s="43">
        <f t="shared" si="42"/>
        <v>1</v>
      </c>
    </row>
    <row r="526" spans="7:20">
      <c r="G526" s="62" cm="1">
        <f t="array" ref="G526">INDEX($D:$D, MATCH(1, (H526 &gt;= $B:$B) * (H526 &lt;= $C:$C), 0))</f>
        <v>10</v>
      </c>
      <c r="H526" s="28">
        <v>46076</v>
      </c>
      <c r="I526" s="29" t="s">
        <v>26</v>
      </c>
      <c r="J526" s="29">
        <v>1.5</v>
      </c>
      <c r="K526" s="30" t="s">
        <v>327</v>
      </c>
      <c r="M526" s="43" t="str">
        <v>redid</v>
      </c>
      <c r="N526" s="43" t="str">
        <f t="shared" si="39"/>
        <v>*redid*</v>
      </c>
      <c r="O526" s="43" t="str">
        <v>*actor*</v>
      </c>
      <c r="P526" s="43">
        <f t="shared" si="40"/>
        <v>4</v>
      </c>
      <c r="Q526" s="43" t="str">
        <v>*grass*</v>
      </c>
      <c r="R526" s="43">
        <v>1</v>
      </c>
      <c r="S526" s="43">
        <f t="shared" si="41"/>
        <v>2.95</v>
      </c>
      <c r="T526" s="43">
        <f t="shared" si="42"/>
        <v>1</v>
      </c>
    </row>
    <row r="527" spans="7:20">
      <c r="G527" s="62" cm="1">
        <f t="array" ref="G527">INDEX($D:$D, MATCH(1, (H527 &gt;= $B:$B) * (H527 &lt;= $C:$C), 0))</f>
        <v>10</v>
      </c>
      <c r="H527" s="28">
        <v>46077</v>
      </c>
      <c r="I527" s="29" t="s">
        <v>26</v>
      </c>
      <c r="J527" s="29">
        <v>2</v>
      </c>
      <c r="K527" s="30" t="s">
        <v>328</v>
      </c>
      <c r="M527" s="43" t="str">
        <v>vine</v>
      </c>
      <c r="N527" s="43" t="str">
        <f t="shared" si="39"/>
        <v>*vine*</v>
      </c>
      <c r="O527" s="43" t="str">
        <v>*parkour*</v>
      </c>
      <c r="P527" s="43">
        <f t="shared" si="40"/>
        <v>4</v>
      </c>
      <c r="Q527" s="43" t="str">
        <v>*islands*</v>
      </c>
      <c r="R527" s="43">
        <v>1</v>
      </c>
      <c r="S527" s="43">
        <f t="shared" si="41"/>
        <v>2.95</v>
      </c>
      <c r="T527" s="43">
        <f t="shared" si="42"/>
        <v>1</v>
      </c>
    </row>
    <row r="528" spans="7:20" ht="30">
      <c r="G528" s="62" cm="1">
        <f t="array" ref="G528">INDEX($D:$D, MATCH(1, (H528 &gt;= $B:$B) * (H528 &lt;= $C:$C), 0))</f>
        <v>10</v>
      </c>
      <c r="H528" s="28">
        <v>46077</v>
      </c>
      <c r="I528" s="29" t="s">
        <v>28</v>
      </c>
      <c r="J528" s="29">
        <v>6.5</v>
      </c>
      <c r="K528" s="30" t="s">
        <v>329</v>
      </c>
      <c r="M528" s="43" t="str">
        <v>graphical</v>
      </c>
      <c r="N528" s="43" t="str">
        <f t="shared" si="39"/>
        <v>*graphical*</v>
      </c>
      <c r="O528" s="43" t="str">
        <v>*challenge*</v>
      </c>
      <c r="P528" s="43">
        <f t="shared" si="40"/>
        <v>8</v>
      </c>
      <c r="Q528" s="43" t="str">
        <v>*around*</v>
      </c>
      <c r="R528" s="43">
        <v>1</v>
      </c>
      <c r="S528" s="43">
        <f t="shared" si="41"/>
        <v>2.95</v>
      </c>
      <c r="T528" s="43">
        <f t="shared" si="42"/>
        <v>1</v>
      </c>
    </row>
    <row r="529" spans="7:20">
      <c r="G529" s="62" cm="1">
        <f t="array" ref="G529">INDEX($D:$D, MATCH(1, (H529 &gt;= $B:$B) * (H529 &lt;= $C:$C), 0))</f>
        <v>10</v>
      </c>
      <c r="H529" s="28">
        <v>46077</v>
      </c>
      <c r="I529" s="29" t="s">
        <v>16</v>
      </c>
      <c r="J529" s="29">
        <v>3</v>
      </c>
      <c r="K529" s="30" t="s">
        <v>330</v>
      </c>
      <c r="M529" s="43" t="str">
        <v>banding</v>
      </c>
      <c r="N529" s="43" t="str">
        <f t="shared" si="39"/>
        <v>*band*</v>
      </c>
      <c r="O529" s="43" t="str">
        <v>*consolid*</v>
      </c>
      <c r="P529" s="43">
        <f t="shared" si="40"/>
        <v>2</v>
      </c>
      <c r="Q529" s="43" t="str">
        <v>*lake*</v>
      </c>
      <c r="R529" s="43">
        <v>1</v>
      </c>
      <c r="S529" s="43">
        <f t="shared" si="41"/>
        <v>2.95</v>
      </c>
      <c r="T529" s="43">
        <f t="shared" si="42"/>
        <v>1</v>
      </c>
    </row>
    <row r="530" spans="7:20">
      <c r="G530" s="62" cm="1">
        <f t="array" ref="G530">INDEX($D:$D, MATCH(1, (H530 &gt;= $B:$B) * (H530 &lt;= $C:$C), 0))</f>
        <v>10</v>
      </c>
      <c r="H530" s="28">
        <v>46077</v>
      </c>
      <c r="I530" s="29" t="s">
        <v>24</v>
      </c>
      <c r="J530" s="29">
        <v>3</v>
      </c>
      <c r="K530" s="30" t="s">
        <v>330</v>
      </c>
      <c r="M530" s="43" t="str">
        <v>blend</v>
      </c>
      <c r="N530" s="43" t="str">
        <f t="shared" si="39"/>
        <v>*blend*</v>
      </c>
      <c r="O530" s="43" t="str">
        <v>*code*</v>
      </c>
      <c r="P530" s="43">
        <f t="shared" si="40"/>
        <v>3</v>
      </c>
      <c r="Q530" s="43" t="str">
        <v>*backup*</v>
      </c>
      <c r="R530" s="43">
        <v>1</v>
      </c>
      <c r="S530" s="43">
        <f t="shared" si="41"/>
        <v>2.95</v>
      </c>
      <c r="T530" s="43">
        <f t="shared" si="42"/>
        <v>1</v>
      </c>
    </row>
    <row r="531" spans="7:20">
      <c r="G531" s="62" cm="1">
        <f t="array" ref="G531">INDEX($D:$D, MATCH(1, (H531 &gt;= $B:$B) * (H531 &lt;= $C:$C), 0))</f>
        <v>10</v>
      </c>
      <c r="H531" s="28">
        <v>46077</v>
      </c>
      <c r="I531" s="29" t="s">
        <v>16</v>
      </c>
      <c r="J531" s="29">
        <v>1</v>
      </c>
      <c r="K531" s="30" t="s">
        <v>331</v>
      </c>
      <c r="M531" s="43" t="str">
        <v>river</v>
      </c>
      <c r="N531" s="43" t="str">
        <f t="shared" si="39"/>
        <v>*river*</v>
      </c>
      <c r="O531" s="43" t="str">
        <v>*chang*</v>
      </c>
      <c r="P531" s="43">
        <f t="shared" si="40"/>
        <v>12</v>
      </c>
      <c r="Q531" s="43" t="str">
        <v>*still*</v>
      </c>
      <c r="R531" s="43">
        <v>1</v>
      </c>
      <c r="S531" s="43">
        <f t="shared" si="41"/>
        <v>2.95</v>
      </c>
      <c r="T531" s="43">
        <f t="shared" si="42"/>
        <v>1</v>
      </c>
    </row>
    <row r="532" spans="7:20">
      <c r="G532" s="62" cm="1">
        <f t="array" ref="G532">INDEX($D:$D, MATCH(1, (H532 &gt;= $B:$B) * (H532 &lt;= $C:$C), 0))</f>
        <v>11</v>
      </c>
      <c r="H532" s="28">
        <v>46078</v>
      </c>
      <c r="I532" s="29" t="s">
        <v>16</v>
      </c>
      <c r="J532" s="29">
        <v>2</v>
      </c>
      <c r="K532" s="30" t="s">
        <v>274</v>
      </c>
      <c r="M532" s="43" t="str">
        <v>Coaching</v>
      </c>
      <c r="N532" s="43" t="str">
        <f t="shared" si="39"/>
        <v>*coach*</v>
      </c>
      <c r="O532" s="43" t="str">
        <v>*posi*</v>
      </c>
      <c r="P532" s="43">
        <f t="shared" si="40"/>
        <v>3</v>
      </c>
      <c r="Q532" s="43" t="str">
        <v>*instrument*</v>
      </c>
      <c r="R532" s="43">
        <v>1</v>
      </c>
      <c r="S532" s="43">
        <f t="shared" si="41"/>
        <v>2.95</v>
      </c>
      <c r="T532" s="43">
        <f t="shared" si="42"/>
        <v>1</v>
      </c>
    </row>
    <row r="533" spans="7:20">
      <c r="G533" s="62" cm="1">
        <f t="array" ref="G533">INDEX($D:$D, MATCH(1, (H533 &gt;= $B:$B) * (H533 &lt;= $C:$C), 0))</f>
        <v>11</v>
      </c>
      <c r="H533" s="28">
        <v>46078</v>
      </c>
      <c r="I533" s="29" t="s">
        <v>24</v>
      </c>
      <c r="J533" s="29">
        <v>1.5</v>
      </c>
      <c r="K533" s="30" t="s">
        <v>274</v>
      </c>
      <c r="M533" s="43" t="str">
        <v>session</v>
      </c>
      <c r="N533" s="43" t="str">
        <f t="shared" si="39"/>
        <v>*session*</v>
      </c>
      <c r="O533" s="43" t="str">
        <v>*when*</v>
      </c>
      <c r="P533" s="43">
        <f t="shared" si="40"/>
        <v>3</v>
      </c>
      <c r="Q533" s="43" t="str">
        <v>*over*</v>
      </c>
      <c r="R533" s="43">
        <v>1</v>
      </c>
      <c r="S533" s="43">
        <f t="shared" si="41"/>
        <v>2.95</v>
      </c>
      <c r="T533" s="43">
        <f t="shared" si="42"/>
        <v>1</v>
      </c>
    </row>
    <row r="534" spans="7:20">
      <c r="G534" s="62" cm="1">
        <f t="array" ref="G534">INDEX($D:$D, MATCH(1, (H534 &gt;= $B:$B) * (H534 &lt;= $C:$C), 0))</f>
        <v>11</v>
      </c>
      <c r="H534" s="28">
        <v>46078</v>
      </c>
      <c r="I534" s="29" t="s">
        <v>26</v>
      </c>
      <c r="J534" s="29">
        <v>1</v>
      </c>
      <c r="K534" s="30" t="s">
        <v>229</v>
      </c>
      <c r="M534" s="43" t="str">
        <v>Pushed</v>
      </c>
      <c r="N534" s="43" t="str">
        <f t="shared" si="39"/>
        <v>*pushed*</v>
      </c>
      <c r="O534" s="43" t="str">
        <v>*picked*</v>
      </c>
      <c r="P534" s="43">
        <f t="shared" si="40"/>
        <v>1</v>
      </c>
      <c r="Q534" s="43" t="str">
        <v>*object*</v>
      </c>
      <c r="R534" s="43">
        <v>1</v>
      </c>
      <c r="S534" s="43">
        <f t="shared" si="41"/>
        <v>2.95</v>
      </c>
      <c r="T534" s="43">
        <f t="shared" si="42"/>
        <v>1</v>
      </c>
    </row>
    <row r="535" spans="7:20">
      <c r="G535" s="62" cm="1">
        <f t="array" ref="G535">INDEX($D:$D, MATCH(1, (H535 &gt;= $B:$B) * (H535 &lt;= $C:$C), 0))</f>
        <v>11</v>
      </c>
      <c r="H535" s="28">
        <v>46078</v>
      </c>
      <c r="I535" s="29" t="s">
        <v>28</v>
      </c>
      <c r="J535" s="29">
        <v>1</v>
      </c>
      <c r="K535" s="30" t="s">
        <v>229</v>
      </c>
      <c r="M535" s="43" t="str">
        <v>Refine</v>
      </c>
      <c r="N535" s="43" t="str">
        <f t="shared" si="39"/>
        <v>*refine*</v>
      </c>
      <c r="O535" s="43" t="str">
        <v>*consolidat*</v>
      </c>
      <c r="P535" s="43">
        <f t="shared" si="40"/>
        <v>2</v>
      </c>
      <c r="Q535" s="43" t="str">
        <v>*colored*</v>
      </c>
      <c r="R535" s="43">
        <v>1</v>
      </c>
      <c r="S535" s="43">
        <f t="shared" si="41"/>
        <v>2.95</v>
      </c>
      <c r="T535" s="43">
        <f t="shared" si="42"/>
        <v>1</v>
      </c>
    </row>
    <row r="536" spans="7:20">
      <c r="G536" s="62" cm="1">
        <f t="array" ref="G536">INDEX($D:$D, MATCH(1, (H536 &gt;= $B:$B) * (H536 &lt;= $C:$C), 0))</f>
        <v>11</v>
      </c>
      <c r="H536" s="28">
        <v>46078</v>
      </c>
      <c r="I536" s="29" t="s">
        <v>34</v>
      </c>
      <c r="J536" s="29">
        <v>1</v>
      </c>
      <c r="K536" s="30" t="s">
        <v>229</v>
      </c>
      <c r="M536" s="43" t="str">
        <v>location</v>
      </c>
      <c r="N536" s="43" t="str">
        <f t="shared" si="39"/>
        <v>*loca*</v>
      </c>
      <c r="O536" s="43" t="str">
        <v>*challenges*</v>
      </c>
      <c r="P536" s="43">
        <f t="shared" si="40"/>
        <v>3</v>
      </c>
      <c r="Q536" s="43" t="str">
        <v>*several*</v>
      </c>
      <c r="R536" s="43">
        <v>1</v>
      </c>
      <c r="S536" s="43">
        <f t="shared" si="41"/>
        <v>2.95</v>
      </c>
      <c r="T536" s="43">
        <f t="shared" si="42"/>
        <v>1</v>
      </c>
    </row>
    <row r="537" spans="7:20">
      <c r="G537" s="62" cm="1">
        <f t="array" ref="G537">INDEX($D:$D, MATCH(1, (H537 &gt;= $B:$B) * (H537 &lt;= $C:$C), 0))</f>
        <v>11</v>
      </c>
      <c r="H537" s="28">
        <v>46078</v>
      </c>
      <c r="I537" s="29" t="s">
        <v>78</v>
      </c>
      <c r="J537" s="29">
        <v>1</v>
      </c>
      <c r="K537" s="30" t="s">
        <v>229</v>
      </c>
      <c r="M537" s="43" t="str">
        <v>Try</v>
      </c>
      <c r="N537" s="43" t="str">
        <f t="shared" si="39"/>
        <v>*try*</v>
      </c>
      <c r="O537" s="43" t="str">
        <v>*unit*</v>
      </c>
      <c r="P537" s="43">
        <f t="shared" si="40"/>
        <v>1</v>
      </c>
      <c r="Q537" s="43" t="str">
        <v>*versions*</v>
      </c>
      <c r="R537" s="43">
        <v>1</v>
      </c>
      <c r="S537" s="43">
        <f t="shared" si="41"/>
        <v>2.95</v>
      </c>
      <c r="T537" s="43">
        <f t="shared" si="42"/>
        <v>1</v>
      </c>
    </row>
    <row r="538" spans="7:20">
      <c r="G538" s="62" cm="1">
        <f t="array" ref="G538">INDEX($D:$D, MATCH(1, (H538 &gt;= $B:$B) * (H538 &lt;= $C:$C), 0))</f>
        <v>11</v>
      </c>
      <c r="H538" s="28">
        <v>46078</v>
      </c>
      <c r="I538" s="29" t="s">
        <v>24</v>
      </c>
      <c r="J538" s="29">
        <v>2</v>
      </c>
      <c r="K538" s="30" t="s">
        <v>332</v>
      </c>
      <c r="M538" s="43" t="str">
        <v>fail</v>
      </c>
      <c r="N538" s="43" t="str">
        <f t="shared" si="39"/>
        <v>*fail*</v>
      </c>
      <c r="O538" s="43" t="str">
        <v>*tests*</v>
      </c>
      <c r="P538" s="43">
        <f t="shared" si="40"/>
        <v>2</v>
      </c>
      <c r="Q538" s="43" t="str">
        <v>*choos*</v>
      </c>
      <c r="R538" s="43">
        <v>1</v>
      </c>
      <c r="S538" s="43">
        <f t="shared" si="41"/>
        <v>2.95</v>
      </c>
      <c r="T538" s="43">
        <f t="shared" si="42"/>
        <v>1</v>
      </c>
    </row>
    <row r="539" spans="7:20">
      <c r="G539" s="62" cm="1">
        <f t="array" ref="G539">INDEX($D:$D, MATCH(1, (H539 &gt;= $B:$B) * (H539 &lt;= $C:$C), 0))</f>
        <v>11</v>
      </c>
      <c r="H539" s="65">
        <v>46079</v>
      </c>
      <c r="I539" s="29" t="s">
        <v>28</v>
      </c>
      <c r="J539" s="29">
        <v>3.5</v>
      </c>
      <c r="K539" s="30" t="s">
        <v>333</v>
      </c>
      <c r="M539" s="43" t="str">
        <v>doors,</v>
      </c>
      <c r="N539" s="43" t="str">
        <f t="shared" si="39"/>
        <v>*doors*</v>
      </c>
      <c r="O539" s="43" t="str">
        <v>*spreadsheet*</v>
      </c>
      <c r="P539" s="43">
        <f t="shared" si="40"/>
        <v>1</v>
      </c>
      <c r="Q539" s="43" t="str">
        <v>*poss*</v>
      </c>
      <c r="R539" s="43">
        <v>1</v>
      </c>
      <c r="S539" s="43">
        <f t="shared" si="41"/>
        <v>2.95</v>
      </c>
      <c r="T539" s="43">
        <f t="shared" si="42"/>
        <v>1</v>
      </c>
    </row>
    <row r="540" spans="7:20">
      <c r="G540" s="62" cm="1">
        <f t="array" ref="G540">INDEX($D:$D, MATCH(1, (H540 &gt;= $B:$B) * (H540 &lt;= $C:$C), 0))</f>
        <v>11</v>
      </c>
      <c r="H540" s="28">
        <v>46080</v>
      </c>
      <c r="I540" s="29" t="s">
        <v>26</v>
      </c>
      <c r="J540" s="29">
        <v>0.5</v>
      </c>
      <c r="K540" s="30" t="s">
        <v>334</v>
      </c>
      <c r="M540" s="43" t="str">
        <v>connect</v>
      </c>
      <c r="N540" s="43" t="str">
        <f t="shared" si="39"/>
        <v>*connect*</v>
      </c>
      <c r="O540" s="43" t="str">
        <v>*zone*</v>
      </c>
      <c r="P540" s="43">
        <f t="shared" si="40"/>
        <v>1</v>
      </c>
      <c r="Q540" s="43" t="str">
        <v>*paid*</v>
      </c>
      <c r="R540" s="43">
        <v>1</v>
      </c>
      <c r="S540" s="43">
        <f t="shared" si="41"/>
        <v>2.95</v>
      </c>
      <c r="T540" s="43">
        <f t="shared" si="42"/>
        <v>1</v>
      </c>
    </row>
    <row r="541" spans="7:20">
      <c r="G541" s="62" cm="1">
        <f t="array" ref="G541">INDEX($D:$D, MATCH(1, (H541 &gt;= $B:$B) * (H541 &lt;= $C:$C), 0))</f>
        <v>11</v>
      </c>
      <c r="H541" s="28">
        <v>46081</v>
      </c>
      <c r="I541" s="29" t="s">
        <v>26</v>
      </c>
      <c r="J541" s="29">
        <v>1.5</v>
      </c>
      <c r="K541" s="30" t="s">
        <v>335</v>
      </c>
      <c r="M541" s="43" t="str">
        <v>categories,</v>
      </c>
      <c r="N541" s="43" t="str">
        <f t="shared" si="39"/>
        <v>*categories*</v>
      </c>
      <c r="O541" s="43" t="str">
        <v>*how*</v>
      </c>
      <c r="P541" s="43">
        <f t="shared" si="40"/>
        <v>4</v>
      </c>
      <c r="Q541" s="43" t="str">
        <v>*escape*</v>
      </c>
      <c r="R541" s="43">
        <v>1</v>
      </c>
      <c r="S541" s="43">
        <f t="shared" si="41"/>
        <v>2.95</v>
      </c>
      <c r="T541" s="43">
        <f t="shared" si="42"/>
        <v>1</v>
      </c>
    </row>
    <row r="542" spans="7:20">
      <c r="G542" s="62" cm="1">
        <f t="array" ref="G542">INDEX($D:$D, MATCH(1, (H542 &gt;= $B:$B) * (H542 &lt;= $C:$C), 0))</f>
        <v>11</v>
      </c>
      <c r="H542" s="28">
        <v>46081</v>
      </c>
      <c r="I542" s="29" t="s">
        <v>26</v>
      </c>
      <c r="J542" s="29">
        <v>0.5</v>
      </c>
      <c r="K542" s="30" t="s">
        <v>336</v>
      </c>
      <c r="M542" s="43" t="str">
        <v>reskin</v>
      </c>
      <c r="N542" s="43" t="str">
        <f t="shared" si="39"/>
        <v>*reskin*</v>
      </c>
      <c r="O542" s="43" t="str">
        <v>*drop*</v>
      </c>
      <c r="P542" s="43">
        <f t="shared" si="40"/>
        <v>6</v>
      </c>
      <c r="Q542" s="43" t="str">
        <v>*remain*</v>
      </c>
      <c r="R542" s="43">
        <v>1</v>
      </c>
      <c r="S542" s="43">
        <f t="shared" si="41"/>
        <v>2.95</v>
      </c>
      <c r="T542" s="43">
        <f t="shared" si="42"/>
        <v>1</v>
      </c>
    </row>
    <row r="543" spans="7:20">
      <c r="G543" s="62" cm="1">
        <f t="array" ref="G543">INDEX($D:$D, MATCH(1, (H543 &gt;= $B:$B) * (H543 &lt;= $C:$C), 0))</f>
        <v>11</v>
      </c>
      <c r="H543" s="28">
        <v>46081</v>
      </c>
      <c r="I543" s="29" t="s">
        <v>16</v>
      </c>
      <c r="J543" s="29">
        <v>0.5</v>
      </c>
      <c r="K543" s="30" t="s">
        <v>337</v>
      </c>
      <c r="M543" s="43" t="str">
        <v>controls</v>
      </c>
      <c r="N543" s="43" t="str">
        <f t="shared" si="39"/>
        <v>*controls*</v>
      </c>
      <c r="O543" s="43" t="str">
        <v>*leads*</v>
      </c>
      <c r="P543" s="43">
        <f t="shared" si="40"/>
        <v>1</v>
      </c>
      <c r="Q543" s="43" t="str">
        <v>*pads*</v>
      </c>
      <c r="R543" s="43">
        <v>1</v>
      </c>
      <c r="S543" s="43">
        <f t="shared" si="41"/>
        <v>2.95</v>
      </c>
      <c r="T543" s="43">
        <f t="shared" si="42"/>
        <v>1</v>
      </c>
    </row>
    <row r="544" spans="7:20">
      <c r="G544" s="62" cm="1">
        <f t="array" ref="G544">INDEX($D:$D, MATCH(1, (H544 &gt;= $B:$B) * (H544 &lt;= $C:$C), 0))</f>
        <v>11</v>
      </c>
      <c r="H544" s="28">
        <v>46081</v>
      </c>
      <c r="I544" s="29" t="s">
        <v>16</v>
      </c>
      <c r="J544" s="29">
        <v>3</v>
      </c>
      <c r="K544" s="30" t="s">
        <v>338</v>
      </c>
      <c r="M544" s="43" t="str">
        <v>pickup</v>
      </c>
      <c r="N544" s="43" t="str">
        <f t="shared" si="39"/>
        <v>*pickup*</v>
      </c>
      <c r="O544" s="43" t="str">
        <v>*sphere*</v>
      </c>
      <c r="P544" s="43">
        <f t="shared" si="40"/>
        <v>1</v>
      </c>
      <c r="Q544" s="43" t="str">
        <v>*pressed*</v>
      </c>
      <c r="R544" s="43">
        <v>1</v>
      </c>
      <c r="S544" s="43">
        <f t="shared" si="41"/>
        <v>2.95</v>
      </c>
      <c r="T544" s="43">
        <f t="shared" si="42"/>
        <v>1</v>
      </c>
    </row>
    <row r="545" spans="7:20">
      <c r="G545" s="62" cm="1">
        <f t="array" ref="G545">INDEX($D:$D, MATCH(1, (H545 &gt;= $B:$B) * (H545 &lt;= $C:$C), 0))</f>
        <v>11</v>
      </c>
      <c r="H545" s="28">
        <v>46082</v>
      </c>
      <c r="I545" s="29" t="s">
        <v>16</v>
      </c>
      <c r="J545" s="29">
        <v>5</v>
      </c>
      <c r="K545" s="30" t="s">
        <v>339</v>
      </c>
      <c r="M545" s="43" t="str">
        <v>a</v>
      </c>
      <c r="N545" s="43" t="str">
        <f t="shared" si="39"/>
        <v>*a*</v>
      </c>
      <c r="O545" s="43" t="str">
        <v>*changed*</v>
      </c>
      <c r="P545" s="43">
        <f t="shared" si="40"/>
        <v>1</v>
      </c>
      <c r="Q545" s="43" t="str">
        <v>*level*</v>
      </c>
      <c r="R545" s="43">
        <v>1</v>
      </c>
      <c r="S545" s="43">
        <f t="shared" si="41"/>
        <v>2.95</v>
      </c>
      <c r="T545" s="43">
        <f t="shared" si="42"/>
        <v>1</v>
      </c>
    </row>
    <row r="546" spans="7:20">
      <c r="G546" s="62" cm="1">
        <f t="array" ref="G546">INDEX($D:$D, MATCH(1, (H546 &gt;= $B:$B) * (H546 &lt;= $C:$C), 0))</f>
        <v>11</v>
      </c>
      <c r="H546" s="28">
        <v>46082</v>
      </c>
      <c r="I546" s="29" t="s">
        <v>16</v>
      </c>
      <c r="J546" s="29">
        <v>2</v>
      </c>
      <c r="K546" s="30" t="s">
        <v>340</v>
      </c>
      <c r="M546" s="43" t="str">
        <v>little.</v>
      </c>
      <c r="N546" s="43" t="str">
        <f t="shared" si="39"/>
        <v>*little*</v>
      </c>
      <c r="O546" s="43" t="str">
        <v>*text*</v>
      </c>
      <c r="P546" s="43">
        <f t="shared" si="40"/>
        <v>5</v>
      </c>
      <c r="Q546" s="43" t="str">
        <v>*everywhere*</v>
      </c>
      <c r="R546" s="43">
        <v>1</v>
      </c>
      <c r="S546" s="43">
        <f t="shared" si="41"/>
        <v>2.95</v>
      </c>
      <c r="T546" s="43">
        <f t="shared" si="42"/>
        <v>1</v>
      </c>
    </row>
    <row r="547" spans="7:20">
      <c r="G547" s="62" cm="1">
        <f t="array" ref="G547">INDEX($D:$D, MATCH(1, (H547 &gt;= $B:$B) * (H547 &lt;= $C:$C), 0))</f>
        <v>11</v>
      </c>
      <c r="H547" s="28">
        <v>46082</v>
      </c>
      <c r="I547" s="29" t="s">
        <v>24</v>
      </c>
      <c r="J547" s="29">
        <v>2</v>
      </c>
      <c r="K547" s="30" t="s">
        <v>341</v>
      </c>
      <c r="M547" s="43" t="str">
        <v>pegs</v>
      </c>
      <c r="N547" s="43" t="str">
        <f t="shared" si="39"/>
        <v>*pegs*</v>
      </c>
      <c r="O547" s="43" t="str">
        <v>*peg*</v>
      </c>
      <c r="P547" s="43">
        <f t="shared" si="40"/>
        <v>10</v>
      </c>
      <c r="Q547" s="43" t="str">
        <v>*outliner*</v>
      </c>
      <c r="R547" s="43">
        <v>1</v>
      </c>
      <c r="S547" s="43">
        <f t="shared" si="41"/>
        <v>2.95</v>
      </c>
      <c r="T547" s="43">
        <f t="shared" si="42"/>
        <v>1</v>
      </c>
    </row>
    <row r="548" spans="7:20" ht="30">
      <c r="G548" s="62" cm="1">
        <f t="array" ref="G548">INDEX($D:$D, MATCH(1, (H548 &gt;= $B:$B) * (H548 &lt;= $C:$C), 0))</f>
        <v>11</v>
      </c>
      <c r="H548" s="28">
        <v>46083</v>
      </c>
      <c r="I548" s="29" t="s">
        <v>34</v>
      </c>
      <c r="J548" s="29">
        <v>3</v>
      </c>
      <c r="K548" s="30" t="s">
        <v>342</v>
      </c>
      <c r="M548" s="43" t="str">
        <v>updated</v>
      </c>
      <c r="N548" s="43" t="str">
        <f t="shared" si="39"/>
        <v>*upd*</v>
      </c>
      <c r="O548" s="43" t="str">
        <v>*constrained*</v>
      </c>
      <c r="P548" s="43">
        <f t="shared" si="40"/>
        <v>1</v>
      </c>
      <c r="Q548" s="43" t="str">
        <v>*async*</v>
      </c>
      <c r="R548" s="43">
        <v>1</v>
      </c>
      <c r="S548" s="43">
        <f t="shared" si="41"/>
        <v>2.95</v>
      </c>
      <c r="T548" s="43">
        <f t="shared" si="42"/>
        <v>1</v>
      </c>
    </row>
    <row r="549" spans="7:20">
      <c r="G549" s="62" cm="1">
        <f t="array" ref="G549">INDEX($D:$D, MATCH(1, (H549 &gt;= $B:$B) * (H549 &lt;= $C:$C), 0))</f>
        <v>11</v>
      </c>
      <c r="H549" s="28">
        <v>46083</v>
      </c>
      <c r="I549" s="29" t="s">
        <v>34</v>
      </c>
      <c r="J549" s="29">
        <v>0.5</v>
      </c>
      <c r="K549" s="30" t="s">
        <v>343</v>
      </c>
      <c r="M549" s="43" t="str">
        <v>layout</v>
      </c>
      <c r="N549" s="43" t="str">
        <f t="shared" si="39"/>
        <v>*layout*</v>
      </c>
      <c r="O549" s="43" t="str">
        <v>*constrain*</v>
      </c>
      <c r="P549" s="43">
        <f t="shared" si="40"/>
        <v>2</v>
      </c>
      <c r="Q549" s="43" t="str">
        <v>*screens*</v>
      </c>
      <c r="R549" s="43">
        <v>1</v>
      </c>
      <c r="S549" s="43">
        <f t="shared" si="41"/>
        <v>2.95</v>
      </c>
      <c r="T549" s="43">
        <f t="shared" si="42"/>
        <v>1</v>
      </c>
    </row>
    <row r="550" spans="7:20">
      <c r="G550" s="62" cm="1">
        <f t="array" ref="G550">INDEX($D:$D, MATCH(1, (H550 &gt;= $B:$B) * (H550 &lt;= $C:$C), 0))</f>
        <v>11</v>
      </c>
      <c r="H550" s="28">
        <v>46083</v>
      </c>
      <c r="I550" s="29" t="s">
        <v>34</v>
      </c>
      <c r="J550" s="29">
        <v>0.5</v>
      </c>
      <c r="K550" s="30" t="s">
        <v>344</v>
      </c>
      <c r="M550" s="43" t="str">
        <v>modeled</v>
      </c>
      <c r="N550" s="43" t="str">
        <f t="shared" si="39"/>
        <v>*modeled*</v>
      </c>
      <c r="O550" s="43" t="str">
        <v>*mesh*</v>
      </c>
      <c r="P550" s="43">
        <f t="shared" si="40"/>
        <v>2</v>
      </c>
      <c r="Q550" s="43" t="str">
        <v>*behind*</v>
      </c>
      <c r="R550" s="43">
        <v>1</v>
      </c>
      <c r="S550" s="43">
        <f t="shared" si="41"/>
        <v>2.95</v>
      </c>
      <c r="T550" s="43">
        <f t="shared" si="42"/>
        <v>1</v>
      </c>
    </row>
    <row r="551" spans="7:20">
      <c r="G551" s="62" cm="1">
        <f t="array" ref="G551">INDEX($D:$D, MATCH(1, (H551 &gt;= $B:$B) * (H551 &lt;= $C:$C), 0))</f>
        <v>11</v>
      </c>
      <c r="H551" s="28">
        <v>46083</v>
      </c>
      <c r="I551" s="29" t="s">
        <v>16</v>
      </c>
      <c r="J551" s="29">
        <v>0.5</v>
      </c>
      <c r="K551" s="30" t="s">
        <v>345</v>
      </c>
      <c r="M551" s="43" t="str">
        <v>low</v>
      </c>
      <c r="N551" s="43" t="str">
        <f t="shared" si="39"/>
        <v>*low*</v>
      </c>
      <c r="O551" s="43" t="str">
        <v>*broken*</v>
      </c>
      <c r="P551" s="43">
        <f t="shared" si="40"/>
        <v>2</v>
      </c>
      <c r="Q551" s="43" t="str">
        <v>*gener*</v>
      </c>
      <c r="R551" s="43">
        <v>1</v>
      </c>
      <c r="S551" s="43">
        <f t="shared" si="41"/>
        <v>2.95</v>
      </c>
      <c r="T551" s="43">
        <f t="shared" si="42"/>
        <v>1</v>
      </c>
    </row>
    <row r="552" spans="7:20">
      <c r="G552" s="62" cm="1">
        <f t="array" ref="G552">INDEX($D:$D, MATCH(1, (H552 &gt;= $B:$B) * (H552 &lt;= $C:$C), 0))</f>
        <v>11</v>
      </c>
      <c r="H552" s="28">
        <v>46083</v>
      </c>
      <c r="I552" s="29" t="s">
        <v>16</v>
      </c>
      <c r="J552" s="29">
        <v>1</v>
      </c>
      <c r="K552" s="30" t="s">
        <v>271</v>
      </c>
      <c r="M552" s="43" t="str">
        <v>poly</v>
      </c>
      <c r="N552" s="43" t="str">
        <f t="shared" si="39"/>
        <v>*poly*</v>
      </c>
      <c r="O552" s="43" t="str">
        <v>*meshes*</v>
      </c>
      <c r="P552" s="43">
        <f t="shared" si="40"/>
        <v>1</v>
      </c>
      <c r="Q552" s="43" t="str">
        <v>*collisions*</v>
      </c>
      <c r="R552" s="43">
        <v>1</v>
      </c>
      <c r="S552" s="43">
        <f t="shared" si="41"/>
        <v>2.95</v>
      </c>
      <c r="T552" s="43">
        <f t="shared" si="42"/>
        <v>1</v>
      </c>
    </row>
    <row r="553" spans="7:20">
      <c r="G553" s="62" cm="1">
        <f t="array" ref="G553">INDEX($D:$D, MATCH(1, (H553 &gt;= $B:$B) * (H553 &lt;= $C:$C), 0))</f>
        <v>11</v>
      </c>
      <c r="H553" s="28">
        <v>46083</v>
      </c>
      <c r="I553" s="29" t="s">
        <v>34</v>
      </c>
      <c r="J553" s="29">
        <v>1</v>
      </c>
      <c r="K553" s="30" t="s">
        <v>271</v>
      </c>
      <c r="M553" s="43" t="str">
        <v>drum</v>
      </c>
      <c r="N553" s="43" t="str">
        <f t="shared" si="39"/>
        <v>*drum*</v>
      </c>
      <c r="O553" s="43" t="str">
        <v>*replace*</v>
      </c>
      <c r="P553" s="43">
        <f t="shared" si="40"/>
        <v>1</v>
      </c>
      <c r="Q553" s="43" t="str">
        <v>*enhanced*</v>
      </c>
      <c r="R553" s="43">
        <v>1</v>
      </c>
      <c r="S553" s="43">
        <f t="shared" si="41"/>
        <v>2.95</v>
      </c>
      <c r="T553" s="43">
        <f t="shared" si="42"/>
        <v>1</v>
      </c>
    </row>
    <row r="554" spans="7:20">
      <c r="G554" s="62" cm="1">
        <f t="array" ref="G554">INDEX($D:$D, MATCH(1, (H554 &gt;= $B:$B) * (H554 &lt;= $C:$C), 0))</f>
        <v>11</v>
      </c>
      <c r="H554" s="28">
        <v>46083</v>
      </c>
      <c r="I554" s="29" t="s">
        <v>26</v>
      </c>
      <c r="J554" s="29">
        <v>1</v>
      </c>
      <c r="K554" s="30" t="s">
        <v>271</v>
      </c>
      <c r="M554" s="43" t="str">
        <v>notes</v>
      </c>
      <c r="N554" s="43" t="str">
        <f t="shared" si="39"/>
        <v>*notes*</v>
      </c>
      <c r="O554" s="43" t="str">
        <v>*problematic*</v>
      </c>
      <c r="P554" s="43">
        <f t="shared" si="40"/>
        <v>1</v>
      </c>
      <c r="Q554" s="43" t="str">
        <v>*standalone*</v>
      </c>
      <c r="R554" s="43">
        <v>1</v>
      </c>
      <c r="S554" s="43">
        <f t="shared" si="41"/>
        <v>2.95</v>
      </c>
      <c r="T554" s="43">
        <f t="shared" si="42"/>
        <v>1</v>
      </c>
    </row>
    <row r="555" spans="7:20">
      <c r="G555" s="62" cm="1">
        <f t="array" ref="G555">INDEX($D:$D, MATCH(1, (H555 &gt;= $B:$B) * (H555 &lt;= $C:$C), 0))</f>
        <v>11</v>
      </c>
      <c r="H555" s="28">
        <v>46083</v>
      </c>
      <c r="I555" s="29" t="s">
        <v>28</v>
      </c>
      <c r="J555" s="29">
        <v>1</v>
      </c>
      <c r="K555" s="30" t="s">
        <v>271</v>
      </c>
      <c r="M555" s="43" t="str">
        <v>needed</v>
      </c>
      <c r="N555" s="43" t="str">
        <f t="shared" si="39"/>
        <v>*needed*</v>
      </c>
      <c r="O555" s="43" t="str">
        <v>*bamboo*</v>
      </c>
      <c r="P555" s="43">
        <f t="shared" si="40"/>
        <v>1</v>
      </c>
      <c r="Q555" s="43" t="str">
        <v>*recogniz*</v>
      </c>
      <c r="R555" s="43">
        <v>1</v>
      </c>
      <c r="S555" s="43">
        <f t="shared" si="41"/>
        <v>2.95</v>
      </c>
      <c r="T555" s="43">
        <f t="shared" si="42"/>
        <v>1</v>
      </c>
    </row>
    <row r="556" spans="7:20">
      <c r="G556" s="62" cm="1">
        <f t="array" ref="G556">INDEX($D:$D, MATCH(1, (H556 &gt;= $B:$B) * (H556 &lt;= $C:$C), 0))</f>
        <v>11</v>
      </c>
      <c r="H556" s="28">
        <v>46083</v>
      </c>
      <c r="I556" s="29" t="s">
        <v>78</v>
      </c>
      <c r="J556" s="29">
        <v>1</v>
      </c>
      <c r="K556" s="30" t="s">
        <v>271</v>
      </c>
      <c r="M556" s="43" t="str">
        <v>had</v>
      </c>
      <c r="N556" s="43" t="str">
        <f t="shared" si="39"/>
        <v>*had*</v>
      </c>
      <c r="O556" s="43" t="str">
        <v>*crosshair*</v>
      </c>
      <c r="P556" s="43">
        <f t="shared" si="40"/>
        <v>1</v>
      </c>
      <c r="Q556" s="43" t="str">
        <v>*behaviors*</v>
      </c>
      <c r="R556" s="43">
        <v>1</v>
      </c>
      <c r="S556" s="43">
        <f t="shared" si="41"/>
        <v>2.95</v>
      </c>
      <c r="T556" s="43">
        <f t="shared" si="42"/>
        <v>1</v>
      </c>
    </row>
    <row r="557" spans="7:20">
      <c r="G557" s="62" cm="1">
        <f t="array" ref="G557">INDEX($D:$D, MATCH(1, (H557 &gt;= $B:$B) * (H557 &lt;= $C:$C), 0))</f>
        <v>11</v>
      </c>
      <c r="H557" s="28">
        <v>46083</v>
      </c>
      <c r="I557" s="29" t="s">
        <v>24</v>
      </c>
      <c r="J557" s="29">
        <v>1</v>
      </c>
      <c r="K557" s="30" t="s">
        <v>271</v>
      </c>
      <c r="M557" s="43" t="str">
        <v>troubleshoot</v>
      </c>
      <c r="N557" s="43" t="str">
        <f t="shared" si="39"/>
        <v>*troubleshoot*</v>
      </c>
      <c r="O557" s="43" t="str">
        <v>*adjustments*</v>
      </c>
      <c r="P557" s="43">
        <f t="shared" si="40"/>
        <v>1</v>
      </c>
      <c r="Q557" s="43" t="str">
        <v>*demo*</v>
      </c>
      <c r="R557" s="43">
        <v>1</v>
      </c>
      <c r="S557" s="43">
        <f t="shared" si="41"/>
        <v>2.95</v>
      </c>
      <c r="T557" s="43">
        <f t="shared" si="42"/>
        <v>1</v>
      </c>
    </row>
    <row r="558" spans="7:20">
      <c r="G558" s="62" cm="1">
        <f t="array" ref="G558">INDEX($D:$D, MATCH(1, (H558 &gt;= $B:$B) * (H558 &lt;= $C:$C), 0))</f>
        <v>11</v>
      </c>
      <c r="H558" s="28">
        <v>46083</v>
      </c>
      <c r="I558" s="29" t="s">
        <v>28</v>
      </c>
      <c r="J558" s="29">
        <v>1</v>
      </c>
      <c r="K558" s="30" t="s">
        <v>346</v>
      </c>
      <c r="M558" s="43" t="str">
        <v>bit</v>
      </c>
      <c r="N558" s="43" t="str">
        <f t="shared" si="39"/>
        <v>*bit*</v>
      </c>
      <c r="O558" s="43" t="str">
        <v>*integrate*</v>
      </c>
      <c r="P558" s="43">
        <f t="shared" si="40"/>
        <v>1</v>
      </c>
      <c r="Q558" s="43" t="str">
        <v>*attempted*</v>
      </c>
      <c r="R558" s="43">
        <v>1</v>
      </c>
      <c r="S558" s="43">
        <f t="shared" si="41"/>
        <v>2.95</v>
      </c>
      <c r="T558" s="43">
        <f t="shared" si="42"/>
        <v>1</v>
      </c>
    </row>
    <row r="559" spans="7:20">
      <c r="G559" s="62" cm="1">
        <f t="array" ref="G559">INDEX($D:$D, MATCH(1, (H559 &gt;= $B:$B) * (H559 &lt;= $C:$C), 0))</f>
        <v>11</v>
      </c>
      <c r="H559" s="28">
        <v>46083</v>
      </c>
      <c r="I559" s="29" t="s">
        <v>16</v>
      </c>
      <c r="J559" s="29">
        <v>3</v>
      </c>
      <c r="K559" s="30" t="s">
        <v>347</v>
      </c>
      <c r="M559" s="43" t="str">
        <v>stone</v>
      </c>
      <c r="N559" s="43" t="str">
        <f t="shared" si="39"/>
        <v>*stone*</v>
      </c>
      <c r="O559" s="43" t="str">
        <v>*began*</v>
      </c>
      <c r="P559" s="43">
        <f t="shared" si="40"/>
        <v>2</v>
      </c>
      <c r="Q559" s="43" t="str">
        <v>*brand*</v>
      </c>
      <c r="R559" s="43">
        <v>1</v>
      </c>
      <c r="S559" s="43">
        <f t="shared" si="41"/>
        <v>2.95</v>
      </c>
      <c r="T559" s="43">
        <f t="shared" si="42"/>
        <v>1</v>
      </c>
    </row>
    <row r="560" spans="7:20">
      <c r="G560" s="62" cm="1">
        <f t="array" ref="G560">INDEX($D:$D, MATCH(1, (H560 &gt;= $B:$B) * (H560 &lt;= $C:$C), 0))</f>
        <v>11</v>
      </c>
      <c r="H560" s="28">
        <v>46083</v>
      </c>
      <c r="I560" s="29" t="s">
        <v>16</v>
      </c>
      <c r="J560" s="29">
        <v>1</v>
      </c>
      <c r="K560" s="30" t="s">
        <v>348</v>
      </c>
      <c r="M560" s="43" t="str">
        <v>tiles</v>
      </c>
      <c r="N560" s="43" t="str">
        <f t="shared" si="39"/>
        <v>*tiles*</v>
      </c>
      <c r="O560" s="43" t="str">
        <v>*plac*</v>
      </c>
      <c r="P560" s="43">
        <f t="shared" si="40"/>
        <v>7</v>
      </c>
      <c r="Q560" s="43" t="str">
        <v>*colors*</v>
      </c>
      <c r="R560" s="43">
        <v>1</v>
      </c>
      <c r="S560" s="43">
        <f t="shared" si="41"/>
        <v>2.95</v>
      </c>
      <c r="T560" s="43">
        <f t="shared" si="42"/>
        <v>1</v>
      </c>
    </row>
    <row r="561" spans="7:20">
      <c r="G561" s="62" cm="1">
        <f t="array" ref="G561">INDEX($D:$D, MATCH(1, (H561 &gt;= $B:$B) * (H561 &lt;= $C:$C), 0))</f>
        <v>11</v>
      </c>
      <c r="H561" s="28">
        <v>46084</v>
      </c>
      <c r="I561" s="29" t="s">
        <v>16</v>
      </c>
      <c r="J561" s="29">
        <v>0.5</v>
      </c>
      <c r="K561" s="30" t="s">
        <v>349</v>
      </c>
      <c r="M561" s="43" t="str">
        <v>Made</v>
      </c>
      <c r="N561" s="43" t="str">
        <f t="shared" si="39"/>
        <v>*made*</v>
      </c>
      <c r="O561" s="43" t="str">
        <v>*fall*</v>
      </c>
      <c r="P561" s="43">
        <f t="shared" si="40"/>
        <v>3</v>
      </c>
      <c r="Q561" s="43" t="str">
        <v>*font*</v>
      </c>
      <c r="R561" s="43">
        <v>1</v>
      </c>
      <c r="S561" s="43">
        <f t="shared" si="41"/>
        <v>2.95</v>
      </c>
      <c r="T561" s="43">
        <f t="shared" si="42"/>
        <v>1</v>
      </c>
    </row>
    <row r="562" spans="7:20">
      <c r="G562" s="62" cm="1">
        <f t="array" ref="G562">INDEX($D:$D, MATCH(1, (H562 &gt;= $B:$B) * (H562 &lt;= $C:$C), 0))</f>
        <v>11</v>
      </c>
      <c r="H562" s="28">
        <v>46085</v>
      </c>
      <c r="I562" s="29" t="s">
        <v>34</v>
      </c>
      <c r="J562" s="29">
        <v>0.5</v>
      </c>
      <c r="K562" s="30" t="s">
        <v>350</v>
      </c>
      <c r="M562" s="43" t="str">
        <v>expandable</v>
      </c>
      <c r="N562" s="43" t="str">
        <f t="shared" si="39"/>
        <v>*expand*</v>
      </c>
      <c r="O562" s="43" t="str">
        <v>*touches*</v>
      </c>
      <c r="P562" s="43">
        <f t="shared" si="40"/>
        <v>2</v>
      </c>
      <c r="Q562" s="43" t="str">
        <v>*leaders*</v>
      </c>
      <c r="R562" s="43">
        <v>1</v>
      </c>
      <c r="S562" s="43">
        <f t="shared" si="41"/>
        <v>2.95</v>
      </c>
      <c r="T562" s="43">
        <f t="shared" si="42"/>
        <v>1</v>
      </c>
    </row>
    <row r="563" spans="7:20">
      <c r="G563" s="62" cm="1">
        <f t="array" ref="G563">INDEX($D:$D, MATCH(1, (H563 &gt;= $B:$B) * (H563 &lt;= $C:$C), 0))</f>
        <v>11</v>
      </c>
      <c r="H563" s="28">
        <v>46086</v>
      </c>
      <c r="I563" s="29" t="s">
        <v>28</v>
      </c>
      <c r="J563" s="29">
        <v>5</v>
      </c>
      <c r="K563" s="30" t="s">
        <v>351</v>
      </c>
      <c r="M563" s="43" t="str">
        <v>any</v>
      </c>
      <c r="N563" s="43" t="str">
        <f t="shared" si="39"/>
        <v>*any*</v>
      </c>
      <c r="O563" s="43" t="str">
        <v>*integrat*</v>
      </c>
      <c r="P563" s="43">
        <f t="shared" si="40"/>
        <v>2</v>
      </c>
      <c r="Q563" s="43" t="str">
        <v>*textures*</v>
      </c>
      <c r="R563" s="43">
        <v>1</v>
      </c>
      <c r="S563" s="43">
        <f t="shared" si="41"/>
        <v>2.95</v>
      </c>
      <c r="T563" s="43">
        <f t="shared" si="42"/>
        <v>1</v>
      </c>
    </row>
    <row r="564" spans="7:20">
      <c r="G564" s="62" cm="1">
        <f t="array" ref="G564">INDEX($D:$D, MATCH(1, (H564 &gt;= $B:$B) * (H564 &lt;= $C:$C), 0))</f>
        <v>11</v>
      </c>
      <c r="H564" s="28">
        <v>46087</v>
      </c>
      <c r="I564" s="29" t="s">
        <v>28</v>
      </c>
      <c r="J564" s="29">
        <v>3</v>
      </c>
      <c r="K564" s="30" t="s">
        <v>352</v>
      </c>
      <c r="M564" s="43" t="str">
        <v>size,</v>
      </c>
      <c r="N564" s="43" t="str">
        <f t="shared" si="39"/>
        <v>*size*</v>
      </c>
      <c r="O564" s="43" t="str">
        <v>*tile*</v>
      </c>
      <c r="P564" s="43">
        <f t="shared" si="40"/>
        <v>2</v>
      </c>
      <c r="Q564" s="43" t="str">
        <v>*fences*</v>
      </c>
      <c r="R564" s="43">
        <v>1</v>
      </c>
      <c r="S564" s="43">
        <f t="shared" si="41"/>
        <v>2.95</v>
      </c>
      <c r="T564" s="43">
        <f t="shared" si="42"/>
        <v>1</v>
      </c>
    </row>
    <row r="565" spans="7:20">
      <c r="G565" s="62" cm="1">
        <f t="array" ref="G565">INDEX($D:$D, MATCH(1, (H565 &gt;= $B:$B) * (H565 &lt;= $C:$C), 0))</f>
        <v>11</v>
      </c>
      <c r="H565" s="28">
        <v>46087</v>
      </c>
      <c r="I565" s="29" t="s">
        <v>24</v>
      </c>
      <c r="J565" s="29">
        <v>3.25</v>
      </c>
      <c r="K565" s="30" t="s">
        <v>353</v>
      </c>
      <c r="M565" s="43" t="str">
        <v>fixing;</v>
      </c>
      <c r="N565" s="43" t="str">
        <f t="shared" si="39"/>
        <v>*fix*</v>
      </c>
      <c r="O565" s="43" t="str">
        <v>*reworked*</v>
      </c>
      <c r="P565" s="43">
        <f t="shared" si="40"/>
        <v>1</v>
      </c>
      <c r="Q565" s="43" t="str">
        <v>*lanters*</v>
      </c>
      <c r="R565" s="43">
        <v>1</v>
      </c>
      <c r="S565" s="43">
        <f t="shared" si="41"/>
        <v>2.95</v>
      </c>
      <c r="T565" s="43">
        <f t="shared" si="42"/>
        <v>1</v>
      </c>
    </row>
    <row r="566" spans="7:20">
      <c r="G566" s="62" cm="1">
        <f t="array" ref="G566">INDEX($D:$D, MATCH(1, (H566 &gt;= $B:$B) * (H566 &lt;= $C:$C), 0))</f>
        <v>11</v>
      </c>
      <c r="H566" s="28">
        <v>46088</v>
      </c>
      <c r="I566" s="29" t="s">
        <v>28</v>
      </c>
      <c r="J566" s="29">
        <v>1</v>
      </c>
      <c r="K566" s="30" t="s">
        <v>354</v>
      </c>
      <c r="M566" s="43" t="str">
        <v>Confirm</v>
      </c>
      <c r="N566" s="43" t="str">
        <f t="shared" si="39"/>
        <v>*confirm*</v>
      </c>
      <c r="O566" s="43" t="str">
        <v>*bp*</v>
      </c>
      <c r="P566" s="43">
        <f t="shared" si="40"/>
        <v>4</v>
      </c>
      <c r="Q566" s="43" t="str">
        <v>*emmission*</v>
      </c>
      <c r="R566" s="43">
        <v>1</v>
      </c>
      <c r="S566" s="43">
        <f t="shared" si="41"/>
        <v>2.95</v>
      </c>
      <c r="T566" s="43">
        <f t="shared" si="42"/>
        <v>1</v>
      </c>
    </row>
    <row r="567" spans="7:20">
      <c r="G567" s="62" cm="1">
        <f t="array" ref="G567">INDEX($D:$D, MATCH(1, (H567 &gt;= $B:$B) * (H567 &lt;= $C:$C), 0))</f>
        <v>11</v>
      </c>
      <c r="H567" s="28">
        <v>46089</v>
      </c>
      <c r="I567" s="29" t="s">
        <v>28</v>
      </c>
      <c r="J567" s="29">
        <v>0.5</v>
      </c>
      <c r="K567" s="30" t="s">
        <v>355</v>
      </c>
      <c r="M567" s="43" t="str">
        <v>dialog</v>
      </c>
      <c r="N567" s="43" t="str">
        <f t="shared" si="39"/>
        <v>*dialog*</v>
      </c>
      <c r="O567" s="43" t="str">
        <v>*2x2*</v>
      </c>
      <c r="P567" s="43">
        <f t="shared" si="40"/>
        <v>1</v>
      </c>
      <c r="Q567" s="43" t="str">
        <v>*qualities*</v>
      </c>
      <c r="R567" s="43">
        <v>1</v>
      </c>
      <c r="S567" s="43">
        <f t="shared" si="41"/>
        <v>2.95</v>
      </c>
      <c r="T567" s="43">
        <f t="shared" si="42"/>
        <v>1</v>
      </c>
    </row>
    <row r="568" spans="7:20">
      <c r="G568" s="62" cm="1">
        <f t="array" ref="G568">INDEX($D:$D, MATCH(1, (H568 &gt;= $B:$B) * (H568 &lt;= $C:$C), 0))</f>
        <v>11</v>
      </c>
      <c r="H568" s="28">
        <v>46089</v>
      </c>
      <c r="I568" s="29" t="s">
        <v>26</v>
      </c>
      <c r="J568" s="29">
        <v>1.5</v>
      </c>
      <c r="K568" s="30" t="s">
        <v>356</v>
      </c>
      <c r="M568" s="43" t="str">
        <v>exiting</v>
      </c>
      <c r="N568" s="43" t="str">
        <f t="shared" ref="N568:N631" si="43">_xlfn.CONCAT("*",TRIM(CLEAN(_xlfn.REGEXREPLACE(LOWER($M568),$N$51,""))),"*")</f>
        <v>*exit*</v>
      </c>
      <c r="O568" s="43" t="str">
        <v>*3x3*</v>
      </c>
      <c r="P568" s="43">
        <f t="shared" ref="P568:P631" si="44">COUNTIF($K$5:$K$1000,$O568)</f>
        <v>1</v>
      </c>
      <c r="Q568" s="43" t="str">
        <v>*twice*</v>
      </c>
      <c r="R568" s="43">
        <v>1</v>
      </c>
      <c r="S568" s="43">
        <f t="shared" ref="S568:S631" si="45">ROUND(LOG(COUNTA($M$54:$M$1000)/R568,10),2)</f>
        <v>2.95</v>
      </c>
      <c r="T568" s="43">
        <f t="shared" si="42"/>
        <v>1</v>
      </c>
    </row>
    <row r="569" spans="7:20" ht="30">
      <c r="G569" s="62" t="str" cm="1">
        <f t="array" ref="G569">INDEX($D:$D, MATCH(1, (H569 &gt;= $B:$B) * (H569 &lt;= $C:$C), 0))</f>
        <v>SPRING RECESS</v>
      </c>
      <c r="H569" s="28">
        <v>46090</v>
      </c>
      <c r="I569" s="29" t="s">
        <v>26</v>
      </c>
      <c r="J569" s="29">
        <v>3.5</v>
      </c>
      <c r="K569" s="30" t="s">
        <v>357</v>
      </c>
      <c r="M569" s="43" t="str">
        <v>cycle</v>
      </c>
      <c r="N569" s="43" t="str">
        <f t="shared" si="43"/>
        <v>*cycle*</v>
      </c>
      <c r="O569" s="43" t="str">
        <v>*4x4*</v>
      </c>
      <c r="P569" s="43">
        <f t="shared" si="44"/>
        <v>1</v>
      </c>
      <c r="Q569" s="43" t="str">
        <v>*because*</v>
      </c>
      <c r="R569" s="43">
        <v>1</v>
      </c>
      <c r="S569" s="43">
        <f t="shared" si="45"/>
        <v>2.95</v>
      </c>
      <c r="T569" s="43">
        <f t="shared" ref="T569:T632" si="46">ROUND($S569/$S568,2)</f>
        <v>1</v>
      </c>
    </row>
    <row r="570" spans="7:20">
      <c r="G570" s="62" t="str" cm="1">
        <f t="array" ref="G570">INDEX($D:$D, MATCH(1, (H570 &gt;= $B:$B) * (H570 &lt;= $C:$C), 0))</f>
        <v>SPRING RECESS</v>
      </c>
      <c r="H570" s="28">
        <v>46090</v>
      </c>
      <c r="I570" s="29" t="s">
        <v>28</v>
      </c>
      <c r="J570" s="29">
        <v>4.5</v>
      </c>
      <c r="K570" s="30" t="s">
        <v>358</v>
      </c>
      <c r="M570" s="43" t="str">
        <v>fixes</v>
      </c>
      <c r="N570" s="43" t="str">
        <f t="shared" si="43"/>
        <v>*fixes*</v>
      </c>
      <c r="O570" s="43" t="str">
        <v>*grids*</v>
      </c>
      <c r="P570" s="43">
        <f t="shared" si="44"/>
        <v>1</v>
      </c>
      <c r="Q570" s="43" t="str">
        <v>*stop*</v>
      </c>
      <c r="R570" s="43">
        <v>1</v>
      </c>
      <c r="S570" s="43">
        <f t="shared" si="45"/>
        <v>2.95</v>
      </c>
      <c r="T570" s="43">
        <f t="shared" si="46"/>
        <v>1</v>
      </c>
    </row>
    <row r="571" spans="7:20">
      <c r="G571" s="62" t="str" cm="1">
        <f t="array" ref="G571">INDEX($D:$D, MATCH(1, (H571 &gt;= $B:$B) * (H571 &lt;= $C:$C), 0))</f>
        <v>SPRING RECESS</v>
      </c>
      <c r="H571" s="28">
        <v>46090</v>
      </c>
      <c r="I571" s="29" t="s">
        <v>16</v>
      </c>
      <c r="J571" s="29">
        <v>4</v>
      </c>
      <c r="K571" s="30" t="s">
        <v>359</v>
      </c>
      <c r="M571" s="43" t="str">
        <v>Puzzle.</v>
      </c>
      <c r="N571" s="43" t="str">
        <f t="shared" si="43"/>
        <v>*puzzle*</v>
      </c>
      <c r="O571" s="43" t="str">
        <v>*drums*</v>
      </c>
      <c r="P571" s="43">
        <f t="shared" si="44"/>
        <v>2</v>
      </c>
      <c r="Q571" s="43" t="str">
        <v>*giv*</v>
      </c>
      <c r="R571" s="43">
        <v>1</v>
      </c>
      <c r="S571" s="43">
        <f t="shared" si="45"/>
        <v>2.95</v>
      </c>
      <c r="T571" s="43">
        <f t="shared" si="46"/>
        <v>1</v>
      </c>
    </row>
    <row r="572" spans="7:20">
      <c r="G572" s="62" t="str" cm="1">
        <f t="array" ref="G572">INDEX($D:$D, MATCH(1, (H572 &gt;= $B:$B) * (H572 &lt;= $C:$C), 0))</f>
        <v>SPRING RECESS</v>
      </c>
      <c r="H572" s="28">
        <v>46091</v>
      </c>
      <c r="I572" s="29" t="s">
        <v>26</v>
      </c>
      <c r="J572" s="29">
        <v>1</v>
      </c>
      <c r="K572" s="30" t="s">
        <v>360</v>
      </c>
      <c r="M572" s="43" t="str">
        <v>fully</v>
      </c>
      <c r="N572" s="43" t="str">
        <f t="shared" si="43"/>
        <v>*ful*</v>
      </c>
      <c r="O572" s="43" t="str">
        <v>*segmented*</v>
      </c>
      <c r="P572" s="43">
        <f t="shared" si="44"/>
        <v>1</v>
      </c>
      <c r="Q572" s="43" t="str">
        <v>*page*</v>
      </c>
      <c r="R572" s="43">
        <v>1</v>
      </c>
      <c r="S572" s="43">
        <f t="shared" si="45"/>
        <v>2.95</v>
      </c>
      <c r="T572" s="43">
        <f t="shared" si="46"/>
        <v>1</v>
      </c>
    </row>
    <row r="573" spans="7:20">
      <c r="G573" s="62" t="str" cm="1">
        <f t="array" ref="G573">INDEX($D:$D, MATCH(1, (H573 &gt;= $B:$B) * (H573 &lt;= $C:$C), 0))</f>
        <v>SPRING RECESS</v>
      </c>
      <c r="H573" s="28">
        <v>46091</v>
      </c>
      <c r="I573" s="29" t="s">
        <v>24</v>
      </c>
      <c r="J573" s="29">
        <v>4.25</v>
      </c>
      <c r="K573" s="30" t="s">
        <v>353</v>
      </c>
      <c r="M573" s="43" t="str">
        <v>works</v>
      </c>
      <c r="N573" s="43" t="str">
        <f t="shared" si="43"/>
        <v>*works*</v>
      </c>
      <c r="O573" s="43" t="str">
        <v>*images*</v>
      </c>
      <c r="P573" s="43">
        <f t="shared" si="44"/>
        <v>1</v>
      </c>
      <c r="Q573" s="43" t="str">
        <v>*that*</v>
      </c>
      <c r="R573" s="43">
        <v>1</v>
      </c>
      <c r="S573" s="43">
        <f t="shared" si="45"/>
        <v>2.95</v>
      </c>
      <c r="T573" s="43">
        <f t="shared" si="46"/>
        <v>1</v>
      </c>
    </row>
    <row r="574" spans="7:20">
      <c r="G574" s="62" t="str" cm="1">
        <f t="array" ref="G574">INDEX($D:$D, MATCH(1, (H574 &gt;= $B:$B) * (H574 &lt;= $C:$C), 0))</f>
        <v>SPRING RECESS</v>
      </c>
      <c r="H574" s="28">
        <v>46091</v>
      </c>
      <c r="I574" s="29" t="s">
        <v>28</v>
      </c>
      <c r="J574" s="29">
        <v>1.5</v>
      </c>
      <c r="K574" s="30" t="s">
        <v>361</v>
      </c>
      <c r="M574" s="43" t="str">
        <v>properly,</v>
      </c>
      <c r="N574" s="43" t="str">
        <f t="shared" si="43"/>
        <v>*proper*</v>
      </c>
      <c r="O574" s="43" t="str">
        <v>*separate*</v>
      </c>
      <c r="P574" s="43">
        <f t="shared" si="44"/>
        <v>1</v>
      </c>
      <c r="Q574" s="43" t="str">
        <v>*process*</v>
      </c>
      <c r="R574" s="43">
        <v>1</v>
      </c>
      <c r="S574" s="43">
        <f t="shared" si="45"/>
        <v>2.95</v>
      </c>
      <c r="T574" s="43">
        <f t="shared" si="46"/>
        <v>1</v>
      </c>
    </row>
    <row r="575" spans="7:20">
      <c r="G575" s="62" t="str" cm="1">
        <f t="array" ref="G575">INDEX($D:$D, MATCH(1, (H575 &gt;= $B:$B) * (H575 &lt;= $C:$C), 0))</f>
        <v>SPRING RECESS</v>
      </c>
      <c r="H575" s="28">
        <v>46093</v>
      </c>
      <c r="I575" s="29" t="s">
        <v>78</v>
      </c>
      <c r="J575" s="29">
        <v>1.5</v>
      </c>
      <c r="K575" s="30" t="s">
        <v>362</v>
      </c>
      <c r="M575" s="43" t="str">
        <v>aside</v>
      </c>
      <c r="N575" s="43" t="str">
        <f t="shared" si="43"/>
        <v>*aside*</v>
      </c>
      <c r="O575" s="43" t="str">
        <v>*onto*</v>
      </c>
      <c r="P575" s="43">
        <f t="shared" si="44"/>
        <v>1</v>
      </c>
      <c r="Q575" s="43" t="str">
        <v>*volume*</v>
      </c>
      <c r="R575" s="43">
        <v>1</v>
      </c>
      <c r="S575" s="43">
        <f t="shared" si="45"/>
        <v>2.95</v>
      </c>
      <c r="T575" s="43">
        <f t="shared" si="46"/>
        <v>1</v>
      </c>
    </row>
    <row r="576" spans="7:20">
      <c r="G576" s="62" t="str" cm="1">
        <f t="array" ref="G576">INDEX($D:$D, MATCH(1, (H576 &gt;= $B:$B) * (H576 &lt;= $C:$C), 0))</f>
        <v>SPRING RECESS</v>
      </c>
      <c r="H576" s="28">
        <v>46093</v>
      </c>
      <c r="I576" s="29" t="s">
        <v>24</v>
      </c>
      <c r="J576" s="29">
        <v>3</v>
      </c>
      <c r="K576" s="30" t="s">
        <v>353</v>
      </c>
      <c r="M576" s="43" t="str">
        <v>con</v>
      </c>
      <c r="N576" s="43" t="str">
        <f t="shared" si="43"/>
        <v>*con*</v>
      </c>
      <c r="O576" s="43" t="str">
        <v>*each*</v>
      </c>
      <c r="P576" s="43">
        <f t="shared" si="44"/>
        <v>2</v>
      </c>
      <c r="Q576" s="43" t="str">
        <v>*have*</v>
      </c>
      <c r="R576" s="43">
        <v>1</v>
      </c>
      <c r="S576" s="43">
        <f t="shared" si="45"/>
        <v>2.95</v>
      </c>
      <c r="T576" s="43">
        <f t="shared" si="46"/>
        <v>1</v>
      </c>
    </row>
    <row r="577" spans="7:20" ht="45">
      <c r="G577" s="62" t="str" cm="1">
        <f t="array" ref="G577">INDEX($D:$D, MATCH(1, (H577 &gt;= $B:$B) * (H577 &lt;= $C:$C), 0))</f>
        <v>SPRING RECESS</v>
      </c>
      <c r="H577" s="28">
        <v>46095</v>
      </c>
      <c r="I577" s="29" t="s">
        <v>78</v>
      </c>
      <c r="J577" s="29">
        <v>3.5</v>
      </c>
      <c r="K577" s="30" t="s">
        <v>363</v>
      </c>
      <c r="M577" s="43" t="str">
        <v>checker</v>
      </c>
      <c r="N577" s="43" t="str">
        <f t="shared" si="43"/>
        <v>*checker*</v>
      </c>
      <c r="O577" s="43" t="str">
        <v>*decal*</v>
      </c>
      <c r="P577" s="43">
        <f t="shared" si="44"/>
        <v>2</v>
      </c>
      <c r="Q577" s="43" t="str">
        <v>*sky*</v>
      </c>
      <c r="R577" s="43">
        <v>1</v>
      </c>
      <c r="S577" s="43">
        <f t="shared" si="45"/>
        <v>2.95</v>
      </c>
      <c r="T577" s="43">
        <f t="shared" si="46"/>
        <v>1</v>
      </c>
    </row>
    <row r="578" spans="7:20">
      <c r="G578" s="62" t="str" cm="1">
        <f t="array" ref="G578">INDEX($D:$D, MATCH(1, (H578 &gt;= $B:$B) * (H578 &lt;= $C:$C), 0))</f>
        <v>SPRING RECESS</v>
      </c>
      <c r="H578" s="28">
        <v>46095</v>
      </c>
      <c r="I578" s="29" t="s">
        <v>28</v>
      </c>
      <c r="J578" s="29">
        <v>3.5</v>
      </c>
      <c r="K578" s="30" t="s">
        <v>364</v>
      </c>
      <c r="M578" s="43" t="str">
        <v>Persistent</v>
      </c>
      <c r="N578" s="43" t="str">
        <f t="shared" si="43"/>
        <v>*persistent*</v>
      </c>
      <c r="O578" s="43" t="str">
        <v>*match*</v>
      </c>
      <c r="P578" s="43">
        <f t="shared" si="44"/>
        <v>1</v>
      </c>
      <c r="Q578" s="43" t="str">
        <v>*boundary*</v>
      </c>
      <c r="R578" s="43">
        <v>1</v>
      </c>
      <c r="S578" s="43">
        <f t="shared" si="45"/>
        <v>2.95</v>
      </c>
      <c r="T578" s="43">
        <f t="shared" si="46"/>
        <v>1</v>
      </c>
    </row>
    <row r="579" spans="7:20" ht="30">
      <c r="G579" s="62" t="str" cm="1">
        <f t="array" ref="G579">INDEX($D:$D, MATCH(1, (H579 &gt;= $B:$B) * (H579 &lt;= $C:$C), 0))</f>
        <v>SPRING RECESS</v>
      </c>
      <c r="H579" s="28">
        <v>46096</v>
      </c>
      <c r="I579" s="29" t="s">
        <v>78</v>
      </c>
      <c r="J579" s="29">
        <v>3.5</v>
      </c>
      <c r="K579" s="30" t="s">
        <v>365</v>
      </c>
      <c r="M579" s="43" t="str">
        <v>collectable</v>
      </c>
      <c r="N579" s="43" t="str">
        <f t="shared" si="43"/>
        <v>*collect*</v>
      </c>
      <c r="O579" s="43" t="str">
        <v>*symbols*</v>
      </c>
      <c r="P579" s="43">
        <f t="shared" si="44"/>
        <v>1</v>
      </c>
      <c r="Q579" s="43" t="str">
        <v>*depth*</v>
      </c>
      <c r="R579" s="43">
        <v>1</v>
      </c>
      <c r="S579" s="43">
        <f t="shared" si="45"/>
        <v>2.95</v>
      </c>
      <c r="T579" s="43">
        <f t="shared" si="46"/>
        <v>1</v>
      </c>
    </row>
    <row r="580" spans="7:20">
      <c r="G580" s="62" t="str" cm="1">
        <f t="array" ref="G580">INDEX($D:$D, MATCH(1, (H580 &gt;= $B:$B) * (H580 &lt;= $C:$C), 0))</f>
        <v>SPRING RECESS</v>
      </c>
      <c r="H580" s="28">
        <v>46096</v>
      </c>
      <c r="I580" s="29" t="s">
        <v>78</v>
      </c>
      <c r="J580" s="29">
        <v>1</v>
      </c>
      <c r="K580" s="30" t="s">
        <v>366</v>
      </c>
      <c r="M580" s="43" t="str">
        <v>actor</v>
      </c>
      <c r="N580" s="43" t="str">
        <f t="shared" si="43"/>
        <v>*actor*</v>
      </c>
      <c r="O580" s="43" t="str">
        <v>*nearby*</v>
      </c>
      <c r="P580" s="43">
        <f t="shared" si="44"/>
        <v>1</v>
      </c>
      <c r="Q580" s="43" t="str">
        <v>*certain*</v>
      </c>
      <c r="R580" s="43">
        <v>1</v>
      </c>
      <c r="S580" s="43">
        <f t="shared" si="45"/>
        <v>2.95</v>
      </c>
      <c r="T580" s="43">
        <f t="shared" si="46"/>
        <v>1</v>
      </c>
    </row>
    <row r="581" spans="7:20">
      <c r="G581" s="62" t="str" cm="1">
        <f t="array" ref="G581">INDEX($D:$D, MATCH(1, (H581 &gt;= $B:$B) * (H581 &lt;= $C:$C), 0))</f>
        <v>SPRING RECESS</v>
      </c>
      <c r="H581" s="28">
        <v>46096</v>
      </c>
      <c r="I581" s="29" t="s">
        <v>78</v>
      </c>
      <c r="J581" s="29">
        <v>1</v>
      </c>
      <c r="K581" s="30" t="s">
        <v>367</v>
      </c>
      <c r="M581" s="43" t="str">
        <v>parkour</v>
      </c>
      <c r="N581" s="43" t="str">
        <f t="shared" si="43"/>
        <v>*parkour*</v>
      </c>
      <c r="O581" s="43" t="str">
        <v>*effect*</v>
      </c>
      <c r="P581" s="43">
        <f t="shared" si="44"/>
        <v>4</v>
      </c>
      <c r="Q581" s="43" t="str">
        <v>*restore*</v>
      </c>
      <c r="R581" s="43">
        <v>1</v>
      </c>
      <c r="S581" s="43">
        <f t="shared" si="45"/>
        <v>2.95</v>
      </c>
      <c r="T581" s="43">
        <f t="shared" si="46"/>
        <v>1</v>
      </c>
    </row>
    <row r="582" spans="7:20">
      <c r="G582" s="62" cm="1">
        <f t="array" ref="G582">INDEX($D:$D, MATCH(1, (H582 &gt;= $B:$B) * (H582 &lt;= $C:$C), 0))</f>
        <v>12</v>
      </c>
      <c r="H582" s="28">
        <v>46097</v>
      </c>
      <c r="I582" s="29" t="s">
        <v>78</v>
      </c>
      <c r="J582" s="29">
        <v>1</v>
      </c>
      <c r="K582" s="30" t="s">
        <v>368</v>
      </c>
      <c r="M582" s="43" t="str">
        <v>challenge</v>
      </c>
      <c r="N582" s="43" t="str">
        <f t="shared" si="43"/>
        <v>*challenge*</v>
      </c>
      <c r="O582" s="43" t="str">
        <v>*all*</v>
      </c>
      <c r="P582" s="43">
        <f t="shared" si="44"/>
        <v>26</v>
      </c>
      <c r="Q582" s="43" t="str">
        <v>*shirts*</v>
      </c>
      <c r="R582" s="43">
        <v>1</v>
      </c>
      <c r="S582" s="43">
        <f t="shared" si="45"/>
        <v>2.95</v>
      </c>
      <c r="T582" s="43">
        <f t="shared" si="46"/>
        <v>1</v>
      </c>
    </row>
    <row r="583" spans="7:20">
      <c r="G583" s="62" cm="1">
        <f t="array" ref="G583">INDEX($D:$D, MATCH(1, (H583 &gt;= $B:$B) * (H583 &lt;= $C:$C), 0))</f>
        <v>12</v>
      </c>
      <c r="H583" s="67">
        <v>46097</v>
      </c>
      <c r="I583" s="29" t="s">
        <v>24</v>
      </c>
      <c r="J583" s="29">
        <v>3</v>
      </c>
      <c r="K583" s="30" t="s">
        <v>369</v>
      </c>
      <c r="M583" s="43" t="str">
        <v>Edit</v>
      </c>
      <c r="N583" s="43" t="str">
        <f t="shared" si="43"/>
        <v>*edit*</v>
      </c>
      <c r="O583" s="43" t="str">
        <v>*5*</v>
      </c>
      <c r="P583" s="43">
        <f t="shared" si="44"/>
        <v>3</v>
      </c>
      <c r="Q583" s="43" t="str">
        <v>*entrance*</v>
      </c>
      <c r="R583" s="43">
        <v>1</v>
      </c>
      <c r="S583" s="43">
        <f t="shared" si="45"/>
        <v>2.95</v>
      </c>
      <c r="T583" s="43">
        <f t="shared" si="46"/>
        <v>1</v>
      </c>
    </row>
    <row r="584" spans="7:20" ht="75">
      <c r="G584" s="62" cm="1">
        <f t="array" ref="G584">INDEX($D:$D, MATCH(1, (H584 &gt;= $B:$B) * (H584 &lt;= $C:$C), 0))</f>
        <v>12</v>
      </c>
      <c r="H584" s="28">
        <v>46097</v>
      </c>
      <c r="I584" s="29" t="s">
        <v>34</v>
      </c>
      <c r="J584" s="29">
        <v>4.5</v>
      </c>
      <c r="K584" s="30" t="s">
        <v>370</v>
      </c>
      <c r="M584" s="43" t="str">
        <v>consolidated</v>
      </c>
      <c r="N584" s="43" t="str">
        <f t="shared" si="43"/>
        <v>*consolid*</v>
      </c>
      <c r="O584" s="43" t="str">
        <v>*vary*</v>
      </c>
      <c r="P584" s="43">
        <f t="shared" si="44"/>
        <v>1</v>
      </c>
      <c r="Q584" s="43" t="str">
        <v>*continued*</v>
      </c>
      <c r="R584" s="43">
        <v>1</v>
      </c>
      <c r="S584" s="43">
        <f t="shared" si="45"/>
        <v>2.95</v>
      </c>
      <c r="T584" s="43">
        <f t="shared" si="46"/>
        <v>1</v>
      </c>
    </row>
    <row r="585" spans="7:20" ht="30">
      <c r="G585" s="62" cm="1">
        <f t="array" ref="G585">INDEX($D:$D, MATCH(1, (H585 &gt;= $B:$B) * (H585 &lt;= $C:$C), 0))</f>
        <v>12</v>
      </c>
      <c r="H585" s="28">
        <v>46097</v>
      </c>
      <c r="I585" s="29" t="s">
        <v>28</v>
      </c>
      <c r="J585" s="29">
        <v>2</v>
      </c>
      <c r="K585" s="30" t="s">
        <v>371</v>
      </c>
      <c r="M585" s="43" t="str">
        <v>code</v>
      </c>
      <c r="N585" s="43" t="str">
        <f t="shared" si="43"/>
        <v>*code*</v>
      </c>
      <c r="O585" s="43" t="str">
        <v>*lengths*</v>
      </c>
      <c r="P585" s="43">
        <f t="shared" si="44"/>
        <v>1</v>
      </c>
      <c r="Q585" s="43" t="str">
        <v>*confirma*</v>
      </c>
      <c r="R585" s="43">
        <v>1</v>
      </c>
      <c r="S585" s="43">
        <f t="shared" si="45"/>
        <v>2.95</v>
      </c>
      <c r="T585" s="43">
        <f t="shared" si="46"/>
        <v>1</v>
      </c>
    </row>
    <row r="586" spans="7:20">
      <c r="G586" s="62" cm="1">
        <f t="array" ref="G586">INDEX($D:$D, MATCH(1, (H586 &gt;= $B:$B) * (H586 &lt;= $C:$C), 0))</f>
        <v>12</v>
      </c>
      <c r="H586" s="28">
        <v>46097</v>
      </c>
      <c r="I586" s="29" t="s">
        <v>26</v>
      </c>
      <c r="J586" s="29">
        <v>1.5</v>
      </c>
      <c r="K586" s="30" t="s">
        <v>372</v>
      </c>
      <c r="M586" s="43" t="str">
        <v>changing</v>
      </c>
      <c r="N586" s="43" t="str">
        <f t="shared" si="43"/>
        <v>*chang*</v>
      </c>
      <c r="O586" s="43" t="str">
        <v>*placement*</v>
      </c>
      <c r="P586" s="43">
        <f t="shared" si="44"/>
        <v>1</v>
      </c>
      <c r="Q586" s="43" t="str">
        <v>*remapp*</v>
      </c>
      <c r="R586" s="43">
        <v>1</v>
      </c>
      <c r="S586" s="43">
        <f t="shared" si="45"/>
        <v>2.95</v>
      </c>
      <c r="T586" s="43">
        <f t="shared" si="46"/>
        <v>1</v>
      </c>
    </row>
    <row r="587" spans="7:20">
      <c r="G587" s="62" cm="1">
        <f t="array" ref="G587">INDEX($D:$D, MATCH(1, (H587 &gt;= $B:$B) * (H587 &lt;= $C:$C), 0))</f>
        <v>12</v>
      </c>
      <c r="H587" s="28">
        <v>46097</v>
      </c>
      <c r="I587" s="29" t="s">
        <v>16</v>
      </c>
      <c r="J587" s="29">
        <v>1.25</v>
      </c>
      <c r="K587" s="30" t="s">
        <v>271</v>
      </c>
      <c r="M587" s="43" t="str">
        <v>position</v>
      </c>
      <c r="N587" s="43" t="str">
        <f t="shared" si="43"/>
        <v>*posi*</v>
      </c>
      <c r="O587" s="43" t="str">
        <v>*trouble*</v>
      </c>
      <c r="P587" s="43">
        <f t="shared" si="44"/>
        <v>4</v>
      </c>
      <c r="Q587" s="43" t="str">
        <v>*needs*</v>
      </c>
      <c r="R587" s="43">
        <v>1</v>
      </c>
      <c r="S587" s="43">
        <f t="shared" si="45"/>
        <v>2.95</v>
      </c>
      <c r="T587" s="43">
        <f t="shared" si="46"/>
        <v>1</v>
      </c>
    </row>
    <row r="588" spans="7:20">
      <c r="G588" s="62" cm="1">
        <f t="array" ref="G588">INDEX($D:$D, MATCH(1, (H588 &gt;= $B:$B) * (H588 &lt;= $C:$C), 0))</f>
        <v>12</v>
      </c>
      <c r="H588" s="28">
        <v>46097</v>
      </c>
      <c r="I588" s="29" t="s">
        <v>26</v>
      </c>
      <c r="J588" s="29">
        <v>1.25</v>
      </c>
      <c r="K588" s="30" t="s">
        <v>271</v>
      </c>
      <c r="M588" s="43" t="str">
        <v>when</v>
      </c>
      <c r="N588" s="43" t="str">
        <f t="shared" si="43"/>
        <v>*when*</v>
      </c>
      <c r="O588" s="43" t="str">
        <v>*shoot*</v>
      </c>
      <c r="P588" s="43">
        <f t="shared" si="44"/>
        <v>4</v>
      </c>
      <c r="Q588" s="43" t="str">
        <v>*correc*</v>
      </c>
      <c r="R588" s="43">
        <v>1</v>
      </c>
      <c r="S588" s="43">
        <f t="shared" si="45"/>
        <v>2.95</v>
      </c>
      <c r="T588" s="43">
        <f t="shared" si="46"/>
        <v>1</v>
      </c>
    </row>
    <row r="589" spans="7:20">
      <c r="G589" s="62" cm="1">
        <f t="array" ref="G589">INDEX($D:$D, MATCH(1, (H589 &gt;= $B:$B) * (H589 &lt;= $C:$C), 0))</f>
        <v>12</v>
      </c>
      <c r="H589" s="28">
        <v>46097</v>
      </c>
      <c r="I589" s="29" t="s">
        <v>28</v>
      </c>
      <c r="J589" s="29">
        <v>1.25</v>
      </c>
      <c r="K589" s="30" t="s">
        <v>271</v>
      </c>
      <c r="M589" s="43" t="str">
        <v>picked</v>
      </c>
      <c r="N589" s="43" t="str">
        <f t="shared" si="43"/>
        <v>*picked*</v>
      </c>
      <c r="O589" s="43" t="str">
        <v>*attach*</v>
      </c>
      <c r="P589" s="43">
        <f t="shared" si="44"/>
        <v>1</v>
      </c>
      <c r="Q589" s="43" t="str">
        <v>*find*</v>
      </c>
      <c r="R589" s="43">
        <v>1</v>
      </c>
      <c r="S589" s="43">
        <f t="shared" si="45"/>
        <v>2.95</v>
      </c>
      <c r="T589" s="43">
        <f t="shared" si="46"/>
        <v>1</v>
      </c>
    </row>
    <row r="590" spans="7:20">
      <c r="G590" s="62" cm="1">
        <f t="array" ref="G590">INDEX($D:$D, MATCH(1, (H590 &gt;= $B:$B) * (H590 &lt;= $C:$C), 0))</f>
        <v>12</v>
      </c>
      <c r="H590" s="28">
        <v>46097</v>
      </c>
      <c r="I590" s="29" t="s">
        <v>34</v>
      </c>
      <c r="J590" s="29">
        <v>1.25</v>
      </c>
      <c r="K590" s="30" t="s">
        <v>271</v>
      </c>
      <c r="M590" s="43" t="str">
        <v>consolidating</v>
      </c>
      <c r="N590" s="43" t="str">
        <f t="shared" si="43"/>
        <v>*consolidat*</v>
      </c>
      <c r="O590" s="43" t="str">
        <v>*one*</v>
      </c>
      <c r="P590" s="43">
        <f t="shared" si="44"/>
        <v>21</v>
      </c>
      <c r="Q590" s="43" t="str">
        <v>*event*</v>
      </c>
      <c r="R590" s="43">
        <v>1</v>
      </c>
      <c r="S590" s="43">
        <f t="shared" si="45"/>
        <v>2.95</v>
      </c>
      <c r="T590" s="43">
        <f t="shared" si="46"/>
        <v>1</v>
      </c>
    </row>
    <row r="591" spans="7:20">
      <c r="G591" s="62" cm="1">
        <f t="array" ref="G591">INDEX($D:$D, MATCH(1, (H591 &gt;= $B:$B) * (H591 &lt;= $C:$C), 0))</f>
        <v>12</v>
      </c>
      <c r="H591" s="28">
        <v>46097</v>
      </c>
      <c r="I591" s="29" t="s">
        <v>78</v>
      </c>
      <c r="J591" s="29">
        <v>1.25</v>
      </c>
      <c r="K591" s="30" t="s">
        <v>271</v>
      </c>
      <c r="M591" s="43" t="str">
        <v>challenges,</v>
      </c>
      <c r="N591" s="43" t="str">
        <f t="shared" si="43"/>
        <v>*challenges*</v>
      </c>
      <c r="O591" s="43" t="str">
        <v>*end*</v>
      </c>
      <c r="P591" s="43">
        <f t="shared" si="44"/>
        <v>4</v>
      </c>
      <c r="Q591" s="43" t="str">
        <v>*ovals*</v>
      </c>
      <c r="R591" s="43">
        <v>1</v>
      </c>
      <c r="S591" s="43">
        <f t="shared" si="45"/>
        <v>2.95</v>
      </c>
      <c r="T591" s="43">
        <f t="shared" si="46"/>
        <v>1</v>
      </c>
    </row>
    <row r="592" spans="7:20">
      <c r="G592" s="62" cm="1">
        <f t="array" ref="G592">INDEX($D:$D, MATCH(1, (H592 &gt;= $B:$B) * (H592 &lt;= $C:$C), 0))</f>
        <v>12</v>
      </c>
      <c r="H592" s="28">
        <v>46097</v>
      </c>
      <c r="I592" s="29" t="s">
        <v>24</v>
      </c>
      <c r="J592" s="29">
        <v>1.25</v>
      </c>
      <c r="K592" s="30" t="s">
        <v>271</v>
      </c>
      <c r="M592" s="43" t="str">
        <v>unit</v>
      </c>
      <c r="N592" s="43" t="str">
        <f t="shared" si="43"/>
        <v>*unit*</v>
      </c>
      <c r="O592" s="43" t="str">
        <v>*of*</v>
      </c>
      <c r="P592" s="43">
        <f t="shared" si="44"/>
        <v>15</v>
      </c>
      <c r="Q592" s="43" t="str">
        <v>*greyscale*</v>
      </c>
      <c r="R592" s="43">
        <v>1</v>
      </c>
      <c r="S592" s="43">
        <f t="shared" si="45"/>
        <v>2.95</v>
      </c>
      <c r="T592" s="43">
        <f t="shared" si="46"/>
        <v>1</v>
      </c>
    </row>
    <row r="593" spans="7:20">
      <c r="G593" s="62" cm="1">
        <f t="array" ref="G593">INDEX($D:$D, MATCH(1, (H593 &gt;= $B:$B) * (H593 &lt;= $C:$C), 0))</f>
        <v>12</v>
      </c>
      <c r="H593" s="28">
        <v>46097</v>
      </c>
      <c r="I593" s="29" t="s">
        <v>16</v>
      </c>
      <c r="J593" s="29">
        <v>1</v>
      </c>
      <c r="K593" s="30" t="s">
        <v>373</v>
      </c>
      <c r="M593" s="43" t="str">
        <v>tests</v>
      </c>
      <c r="N593" s="43" t="str">
        <f t="shared" si="43"/>
        <v>*tests*</v>
      </c>
      <c r="O593" s="43" t="str">
        <v>*rough*</v>
      </c>
      <c r="P593" s="43">
        <f t="shared" si="44"/>
        <v>2</v>
      </c>
      <c r="Q593" s="43" t="str">
        <v>*titlescreen*</v>
      </c>
      <c r="R593" s="43">
        <v>1</v>
      </c>
      <c r="S593" s="43">
        <f t="shared" si="45"/>
        <v>2.95</v>
      </c>
      <c r="T593" s="43">
        <f t="shared" si="46"/>
        <v>1</v>
      </c>
    </row>
    <row r="594" spans="7:20">
      <c r="G594" s="62" cm="1">
        <f t="array" ref="G594">INDEX($D:$D, MATCH(1, (H594 &gt;= $B:$B) * (H594 &lt;= $C:$C), 0))</f>
        <v>12</v>
      </c>
      <c r="H594" s="28">
        <v>46097</v>
      </c>
      <c r="I594" s="29" t="s">
        <v>24</v>
      </c>
      <c r="J594" s="29">
        <v>1.25</v>
      </c>
      <c r="K594" s="30" t="s">
        <v>211</v>
      </c>
      <c r="M594" s="43" t="str">
        <v>spreadsheet</v>
      </c>
      <c r="N594" s="43" t="str">
        <f t="shared" si="43"/>
        <v>*spreadsheet*</v>
      </c>
      <c r="O594" s="43" t="str">
        <v>*radial*</v>
      </c>
      <c r="P594" s="43">
        <f t="shared" si="44"/>
        <v>1</v>
      </c>
      <c r="Q594" s="43" t="str">
        <v>*finals*</v>
      </c>
      <c r="R594" s="43">
        <v>1</v>
      </c>
      <c r="S594" s="43">
        <f t="shared" si="45"/>
        <v>2.95</v>
      </c>
      <c r="T594" s="43">
        <f t="shared" si="46"/>
        <v>1</v>
      </c>
    </row>
    <row r="595" spans="7:20">
      <c r="G595" s="62" cm="1">
        <f t="array" ref="G595">INDEX($D:$D, MATCH(1, (H595 &gt;= $B:$B) * (H595 &lt;= $C:$C), 0))</f>
        <v>12</v>
      </c>
      <c r="H595" s="28">
        <v>46097</v>
      </c>
      <c r="I595" s="29" t="s">
        <v>26</v>
      </c>
      <c r="J595" s="29">
        <v>1.25</v>
      </c>
      <c r="K595" s="30" t="s">
        <v>211</v>
      </c>
      <c r="M595" s="43" t="str">
        <v>changes</v>
      </c>
      <c r="N595" s="43" t="str">
        <f t="shared" si="43"/>
        <v>*changes*</v>
      </c>
      <c r="O595" s="43" t="str">
        <v>*turn*</v>
      </c>
      <c r="P595" s="43">
        <f t="shared" si="44"/>
        <v>1</v>
      </c>
      <c r="Q595" s="43" t="str">
        <v>*showcase*</v>
      </c>
      <c r="R595" s="43">
        <v>1</v>
      </c>
      <c r="S595" s="43">
        <f t="shared" si="45"/>
        <v>2.95</v>
      </c>
      <c r="T595" s="43">
        <f t="shared" si="46"/>
        <v>1</v>
      </c>
    </row>
    <row r="596" spans="7:20">
      <c r="G596" s="62" cm="1">
        <f t="array" ref="G596">INDEX($D:$D, MATCH(1, (H596 &gt;= $B:$B) * (H596 &lt;= $C:$C), 0))</f>
        <v>12</v>
      </c>
      <c r="H596" s="28">
        <v>46097</v>
      </c>
      <c r="I596" s="29" t="s">
        <v>28</v>
      </c>
      <c r="J596" s="29">
        <v>1.25</v>
      </c>
      <c r="K596" s="30" t="s">
        <v>211</v>
      </c>
      <c r="M596" s="43" t="str">
        <v>Zone</v>
      </c>
      <c r="N596" s="43" t="str">
        <f t="shared" si="43"/>
        <v>*zone*</v>
      </c>
      <c r="O596" s="43" t="str">
        <v>*2nd*</v>
      </c>
      <c r="P596" s="43">
        <f t="shared" si="44"/>
        <v>1</v>
      </c>
      <c r="Q596" s="43" t="str">
        <v>*ironed*</v>
      </c>
      <c r="R596" s="43">
        <v>1</v>
      </c>
      <c r="S596" s="43">
        <f t="shared" si="45"/>
        <v>2.95</v>
      </c>
      <c r="T596" s="43">
        <f t="shared" si="46"/>
        <v>1</v>
      </c>
    </row>
    <row r="597" spans="7:20">
      <c r="G597" s="62" cm="1">
        <f t="array" ref="G597">INDEX($D:$D, MATCH(1, (H597 &gt;= $B:$B) * (H597 &lt;= $C:$C), 0))</f>
        <v>12</v>
      </c>
      <c r="H597" s="28">
        <v>46097</v>
      </c>
      <c r="I597" s="29" t="s">
        <v>78</v>
      </c>
      <c r="J597" s="29">
        <v>0.75</v>
      </c>
      <c r="K597" s="30" t="s">
        <v>211</v>
      </c>
      <c r="M597" s="43" t="str">
        <v>how</v>
      </c>
      <c r="N597" s="43" t="str">
        <f t="shared" si="43"/>
        <v>*how*</v>
      </c>
      <c r="O597" s="43" t="str">
        <v>*percussions*</v>
      </c>
      <c r="P597" s="43">
        <f t="shared" si="44"/>
        <v>1</v>
      </c>
      <c r="Q597" s="43" t="str">
        <v>*footprints*</v>
      </c>
      <c r="R597" s="43">
        <v>1</v>
      </c>
      <c r="S597" s="43">
        <f t="shared" si="45"/>
        <v>2.95</v>
      </c>
      <c r="T597" s="43">
        <f t="shared" si="46"/>
        <v>1</v>
      </c>
    </row>
    <row r="598" spans="7:20">
      <c r="G598" s="62" cm="1">
        <f t="array" ref="G598">INDEX($D:$D, MATCH(1, (H598 &gt;= $B:$B) * (H598 &lt;= $C:$C), 0))</f>
        <v>12</v>
      </c>
      <c r="H598" s="28">
        <v>46097</v>
      </c>
      <c r="I598" s="29" t="s">
        <v>34</v>
      </c>
      <c r="J598" s="29">
        <v>1.25</v>
      </c>
      <c r="K598" s="30" t="s">
        <v>211</v>
      </c>
      <c r="M598" s="43" t="str">
        <v>drop</v>
      </c>
      <c r="N598" s="43" t="str">
        <f t="shared" si="43"/>
        <v>*drop*</v>
      </c>
      <c r="O598" s="43" t="str">
        <v>*server*</v>
      </c>
      <c r="P598" s="43">
        <f t="shared" si="44"/>
        <v>1</v>
      </c>
      <c r="Q598" s="43" t="str">
        <v>*submission*</v>
      </c>
      <c r="R598" s="43">
        <v>1</v>
      </c>
      <c r="S598" s="43">
        <f t="shared" si="45"/>
        <v>2.95</v>
      </c>
      <c r="T598" s="43">
        <f t="shared" si="46"/>
        <v>1</v>
      </c>
    </row>
    <row r="599" spans="7:20">
      <c r="G599" s="62" cm="1">
        <f t="array" ref="G599">INDEX($D:$D, MATCH(1, (H599 &gt;= $B:$B) * (H599 &lt;= $C:$C), 0))</f>
        <v>12</v>
      </c>
      <c r="H599" s="28">
        <v>46097</v>
      </c>
      <c r="I599" s="29" t="s">
        <v>16</v>
      </c>
      <c r="J599" s="29">
        <v>1.25</v>
      </c>
      <c r="K599" s="30" t="s">
        <v>211</v>
      </c>
      <c r="M599" s="43" t="str">
        <v>leads</v>
      </c>
      <c r="N599" s="43" t="str">
        <f t="shared" si="43"/>
        <v>*leads*</v>
      </c>
      <c r="O599" s="43" t="str">
        <v>*teleport*</v>
      </c>
      <c r="P599" s="43">
        <f t="shared" si="44"/>
        <v>3</v>
      </c>
      <c r="Q599" s="43" t="str">
        <v>*khakis*</v>
      </c>
      <c r="R599" s="43">
        <v>1</v>
      </c>
      <c r="S599" s="43">
        <f t="shared" si="45"/>
        <v>2.95</v>
      </c>
      <c r="T599" s="43">
        <f t="shared" si="46"/>
        <v>1</v>
      </c>
    </row>
    <row r="600" spans="7:20" ht="30">
      <c r="G600" s="62" cm="1">
        <f t="array" ref="G600">INDEX($D:$D, MATCH(1, (H600 &gt;= $B:$B) * (H600 &lt;= $C:$C), 0))</f>
        <v>12</v>
      </c>
      <c r="H600" s="28">
        <v>46097</v>
      </c>
      <c r="I600" s="29" t="s">
        <v>16</v>
      </c>
      <c r="J600" s="29">
        <v>3.5</v>
      </c>
      <c r="K600" s="30" t="s">
        <v>374</v>
      </c>
      <c r="M600" s="43" t="str">
        <v>sphere,</v>
      </c>
      <c r="N600" s="43" t="str">
        <f t="shared" si="43"/>
        <v>*sphere*</v>
      </c>
      <c r="O600" s="43" t="str">
        <v>*feedback*</v>
      </c>
      <c r="P600" s="43">
        <f t="shared" si="44"/>
        <v>6</v>
      </c>
      <c r="Q600" s="43" t="str">
        <v>*before*</v>
      </c>
      <c r="R600" s="43">
        <v>1</v>
      </c>
      <c r="S600" s="43">
        <f t="shared" si="45"/>
        <v>2.95</v>
      </c>
      <c r="T600" s="43">
        <f t="shared" si="46"/>
        <v>1</v>
      </c>
    </row>
    <row r="601" spans="7:20">
      <c r="G601" s="62" cm="1">
        <f t="array" ref="G601">INDEX($D:$D, MATCH(1, (H601 &gt;= $B:$B) * (H601 &lt;= $C:$C), 0))</f>
        <v>12</v>
      </c>
      <c r="H601" s="67">
        <v>46097</v>
      </c>
      <c r="I601" s="29" t="s">
        <v>24</v>
      </c>
      <c r="J601" s="29">
        <v>8</v>
      </c>
      <c r="K601" s="30" t="s">
        <v>375</v>
      </c>
      <c r="M601" s="43" t="str">
        <v>changed</v>
      </c>
      <c r="N601" s="43" t="str">
        <f t="shared" si="43"/>
        <v>*changed*</v>
      </c>
      <c r="O601" s="43" t="str">
        <v>*analysis*</v>
      </c>
      <c r="P601" s="43">
        <f t="shared" si="44"/>
        <v>5</v>
      </c>
      <c r="Q601" s="43" t="str">
        <v>*compar*</v>
      </c>
      <c r="R601" s="43">
        <v>1</v>
      </c>
      <c r="S601" s="43">
        <f t="shared" si="45"/>
        <v>2.95</v>
      </c>
      <c r="T601" s="43">
        <f t="shared" si="46"/>
        <v>1</v>
      </c>
    </row>
    <row r="602" spans="7:20" ht="30">
      <c r="G602" s="62" cm="1">
        <f t="array" ref="G602">INDEX($D:$D, MATCH(1, (H602 &gt;= $B:$B) * (H602 &lt;= $C:$C), 0))</f>
        <v>12</v>
      </c>
      <c r="H602" s="28">
        <v>46098</v>
      </c>
      <c r="I602" s="29" t="s">
        <v>16</v>
      </c>
      <c r="J602" s="29">
        <v>2.5</v>
      </c>
      <c r="K602" s="30" t="s">
        <v>376</v>
      </c>
      <c r="M602" s="43" t="str">
        <v>text</v>
      </c>
      <c r="N602" s="43" t="str">
        <f t="shared" si="43"/>
        <v>*text*</v>
      </c>
      <c r="O602" s="43" t="str">
        <v>*rtm*</v>
      </c>
      <c r="P602" s="43">
        <f t="shared" si="44"/>
        <v>5</v>
      </c>
      <c r="Q602" s="43" t="str">
        <v>*schedules*</v>
      </c>
      <c r="R602" s="43">
        <v>1</v>
      </c>
      <c r="S602" s="43">
        <f t="shared" si="45"/>
        <v>2.95</v>
      </c>
      <c r="T602" s="43">
        <f t="shared" si="46"/>
        <v>1</v>
      </c>
    </row>
    <row r="603" spans="7:20">
      <c r="G603" s="62" cm="1">
        <f t="array" ref="G603">INDEX($D:$D, MATCH(1, (H603 &gt;= $B:$B) * (H603 &lt;= $C:$C), 0))</f>
        <v>12</v>
      </c>
      <c r="H603" s="28">
        <v>46098</v>
      </c>
      <c r="I603" s="29" t="s">
        <v>28</v>
      </c>
      <c r="J603" s="29">
        <v>1</v>
      </c>
      <c r="K603" s="30" t="s">
        <v>377</v>
      </c>
      <c r="M603" s="43" t="str">
        <v>interacting</v>
      </c>
      <c r="N603" s="43" t="str">
        <f t="shared" si="43"/>
        <v>*interact*</v>
      </c>
      <c r="O603" s="43" t="str">
        <v>*por*</v>
      </c>
      <c r="P603" s="43">
        <f t="shared" si="44"/>
        <v>28</v>
      </c>
      <c r="Q603" s="43" t="str">
        <v>*next*</v>
      </c>
      <c r="R603" s="43">
        <v>1</v>
      </c>
      <c r="S603" s="43">
        <f t="shared" si="45"/>
        <v>2.95</v>
      </c>
      <c r="T603" s="43">
        <f t="shared" si="46"/>
        <v>1</v>
      </c>
    </row>
    <row r="604" spans="7:20">
      <c r="G604" s="62" cm="1">
        <f t="array" ref="G604">INDEX($D:$D, MATCH(1, (H604 &gt;= $B:$B) * (H604 &lt;= $C:$C), 0))</f>
        <v>12</v>
      </c>
      <c r="H604" s="28">
        <v>46098</v>
      </c>
      <c r="I604" s="29" t="s">
        <v>26</v>
      </c>
      <c r="J604" s="29">
        <v>1.5</v>
      </c>
      <c r="K604" s="30" t="s">
        <v>378</v>
      </c>
      <c r="M604" s="43" t="str">
        <v>peg,</v>
      </c>
      <c r="N604" s="43" t="str">
        <f t="shared" si="43"/>
        <v>*peg*</v>
      </c>
      <c r="O604" s="43" t="str">
        <v>*resculpt*</v>
      </c>
      <c r="P604" s="43">
        <f t="shared" si="44"/>
        <v>1</v>
      </c>
      <c r="Q604" s="43" t="str">
        <v>*renam*</v>
      </c>
      <c r="R604" s="43">
        <v>1</v>
      </c>
      <c r="S604" s="43">
        <f t="shared" si="45"/>
        <v>2.95</v>
      </c>
      <c r="T604" s="43">
        <f t="shared" si="46"/>
        <v>1</v>
      </c>
    </row>
    <row r="605" spans="7:20">
      <c r="G605" s="62" cm="1">
        <f t="array" ref="G605">INDEX($D:$D, MATCH(1, (H605 &gt;= $B:$B) * (H605 &lt;= $C:$C), 0))</f>
        <v>12</v>
      </c>
      <c r="H605" s="28">
        <v>46099</v>
      </c>
      <c r="I605" s="29" t="s">
        <v>26</v>
      </c>
      <c r="J605" s="29">
        <v>1</v>
      </c>
      <c r="K605" s="30" t="s">
        <v>377</v>
      </c>
      <c r="M605" s="43" t="str">
        <v>constrained</v>
      </c>
      <c r="N605" s="43" t="str">
        <f t="shared" si="43"/>
        <v>*constrained*</v>
      </c>
      <c r="O605" s="43" t="str">
        <v>*key*</v>
      </c>
      <c r="P605" s="43">
        <f t="shared" si="44"/>
        <v>18</v>
      </c>
      <c r="Q605" s="43" t="str">
        <v>*decals*</v>
      </c>
      <c r="R605" s="43">
        <v>1</v>
      </c>
      <c r="S605" s="43">
        <f t="shared" si="45"/>
        <v>2.95</v>
      </c>
      <c r="T605" s="43">
        <f t="shared" si="46"/>
        <v>1</v>
      </c>
    </row>
    <row r="606" spans="7:20">
      <c r="G606" s="62" cm="1">
        <f t="array" ref="G606">INDEX($D:$D, MATCH(1, (H606 &gt;= $B:$B) * (H606 &lt;= $C:$C), 0))</f>
        <v>12</v>
      </c>
      <c r="H606" s="28">
        <v>46099</v>
      </c>
      <c r="I606" s="29" t="s">
        <v>16</v>
      </c>
      <c r="J606" s="29">
        <v>1</v>
      </c>
      <c r="K606" s="30" t="s">
        <v>377</v>
      </c>
      <c r="M606" s="43" t="str">
        <v>constraining</v>
      </c>
      <c r="N606" s="43" t="str">
        <f t="shared" si="43"/>
        <v>*constrain*</v>
      </c>
      <c r="O606" s="43" t="str">
        <v>*elements*</v>
      </c>
      <c r="P606" s="43">
        <f t="shared" si="44"/>
        <v>1</v>
      </c>
      <c r="Q606" s="43" t="str">
        <v>*redesign*</v>
      </c>
      <c r="R606" s="43">
        <v>1</v>
      </c>
      <c r="S606" s="43">
        <f t="shared" si="45"/>
        <v>2.95</v>
      </c>
      <c r="T606" s="43">
        <f t="shared" si="46"/>
        <v>1</v>
      </c>
    </row>
    <row r="607" spans="7:20">
      <c r="G607" s="62" cm="1">
        <f t="array" ref="G607">INDEX($D:$D, MATCH(1, (H607 &gt;= $B:$B) * (H607 &lt;= $C:$C), 0))</f>
        <v>12</v>
      </c>
      <c r="H607" s="28">
        <v>46099</v>
      </c>
      <c r="I607" s="29" t="s">
        <v>78</v>
      </c>
      <c r="J607" s="29">
        <v>1</v>
      </c>
      <c r="K607" s="30" t="s">
        <v>377</v>
      </c>
      <c r="M607" s="43" t="str">
        <v>redoing</v>
      </c>
      <c r="N607" s="43" t="str">
        <f t="shared" si="43"/>
        <v>*redo*</v>
      </c>
      <c r="O607" s="43" t="str">
        <v>*steven*</v>
      </c>
      <c r="P607" s="43">
        <f t="shared" si="44"/>
        <v>2</v>
      </c>
      <c r="Q607" s="43" t="str">
        <v>*stack*</v>
      </c>
      <c r="R607" s="43">
        <v>1</v>
      </c>
      <c r="S607" s="43">
        <f t="shared" si="45"/>
        <v>2.95</v>
      </c>
      <c r="T607" s="43">
        <f t="shared" si="46"/>
        <v>1</v>
      </c>
    </row>
    <row r="608" spans="7:20">
      <c r="G608" s="62" cm="1">
        <f t="array" ref="G608">INDEX($D:$D, MATCH(1, (H608 &gt;= $B:$B) * (H608 &lt;= $C:$C), 0))</f>
        <v>12</v>
      </c>
      <c r="H608" s="28">
        <v>46099</v>
      </c>
      <c r="I608" s="29" t="s">
        <v>28</v>
      </c>
      <c r="J608" s="29">
        <v>1</v>
      </c>
      <c r="K608" s="30" t="s">
        <v>377</v>
      </c>
      <c r="M608" s="43" t="str">
        <v>Mesh</v>
      </c>
      <c r="N608" s="43" t="str">
        <f t="shared" si="43"/>
        <v>*mesh*</v>
      </c>
      <c r="O608" s="43" t="str">
        <v>*condi*</v>
      </c>
      <c r="P608" s="43">
        <f t="shared" si="44"/>
        <v>1</v>
      </c>
      <c r="Q608" s="43" t="str">
        <v>*controllers*</v>
      </c>
      <c r="R608" s="43">
        <v>1</v>
      </c>
      <c r="S608" s="43">
        <f t="shared" si="45"/>
        <v>2.95</v>
      </c>
      <c r="T608" s="43">
        <f t="shared" si="46"/>
        <v>1</v>
      </c>
    </row>
    <row r="609" spans="7:20">
      <c r="G609" s="62" cm="1">
        <f t="array" ref="G609">INDEX($D:$D, MATCH(1, (H609 &gt;= $B:$B) * (H609 &lt;= $C:$C), 0))</f>
        <v>12</v>
      </c>
      <c r="H609" s="28">
        <v>46099</v>
      </c>
      <c r="I609" s="29" t="s">
        <v>16</v>
      </c>
      <c r="J609" s="29">
        <v>2.5</v>
      </c>
      <c r="K609" s="30" t="s">
        <v>379</v>
      </c>
      <c r="M609" s="43" t="str">
        <v>broken</v>
      </c>
      <c r="N609" s="43" t="str">
        <f t="shared" si="43"/>
        <v>*broken*</v>
      </c>
      <c r="O609" s="43" t="str">
        <v>*symbol*</v>
      </c>
      <c r="P609" s="43">
        <f t="shared" si="44"/>
        <v>2</v>
      </c>
      <c r="Q609" s="43" t="str">
        <v>*modular*</v>
      </c>
      <c r="R609" s="43">
        <v>1</v>
      </c>
      <c r="S609" s="43">
        <f t="shared" si="45"/>
        <v>2.95</v>
      </c>
      <c r="T609" s="43">
        <f t="shared" si="46"/>
        <v>1</v>
      </c>
    </row>
    <row r="610" spans="7:20">
      <c r="G610" s="62" cm="1">
        <f t="array" ref="G610">INDEX($D:$D, MATCH(1, (H610 &gt;= $B:$B) * (H610 &lt;= $C:$C), 0))</f>
        <v>12</v>
      </c>
      <c r="H610" s="28">
        <v>46099</v>
      </c>
      <c r="I610" s="29" t="s">
        <v>16</v>
      </c>
      <c r="J610" s="29">
        <v>2.5</v>
      </c>
      <c r="K610" s="30" t="s">
        <v>380</v>
      </c>
      <c r="M610" s="43" t="str">
        <v>meshes</v>
      </c>
      <c r="N610" s="43" t="str">
        <f t="shared" si="43"/>
        <v>*meshes*</v>
      </c>
      <c r="O610" s="43" t="str">
        <v>*light*</v>
      </c>
      <c r="P610" s="43">
        <f t="shared" si="44"/>
        <v>3</v>
      </c>
      <c r="Q610" s="43" t="str">
        <v>*woods*</v>
      </c>
      <c r="R610" s="43">
        <v>1</v>
      </c>
      <c r="S610" s="43">
        <f t="shared" si="45"/>
        <v>2.95</v>
      </c>
      <c r="T610" s="43">
        <f t="shared" si="46"/>
        <v>1</v>
      </c>
    </row>
    <row r="611" spans="7:20">
      <c r="G611" s="62" cm="1">
        <f t="array" ref="G611">INDEX($D:$D, MATCH(1, (H611 &gt;= $B:$B) * (H611 &lt;= $C:$C), 0))</f>
        <v>12</v>
      </c>
      <c r="H611" s="28">
        <v>46100</v>
      </c>
      <c r="I611" s="29" t="s">
        <v>78</v>
      </c>
      <c r="J611" s="29">
        <v>1</v>
      </c>
      <c r="K611" s="30" t="s">
        <v>377</v>
      </c>
      <c r="M611" s="43" t="str">
        <v>Replace</v>
      </c>
      <c r="N611" s="43" t="str">
        <f t="shared" si="43"/>
        <v>*replace*</v>
      </c>
      <c r="O611" s="43" t="str">
        <v>*comple*</v>
      </c>
      <c r="P611" s="43">
        <f t="shared" si="44"/>
        <v>7</v>
      </c>
      <c r="Q611" s="43" t="str">
        <v>*classes*</v>
      </c>
      <c r="R611" s="43">
        <v>1</v>
      </c>
      <c r="S611" s="43">
        <f t="shared" si="45"/>
        <v>2.95</v>
      </c>
      <c r="T611" s="43">
        <f t="shared" si="46"/>
        <v>1</v>
      </c>
    </row>
    <row r="612" spans="7:20">
      <c r="G612" s="62" cm="1">
        <f t="array" ref="G612">INDEX($D:$D, MATCH(1, (H612 &gt;= $B:$B) * (H612 &lt;= $C:$C), 0))</f>
        <v>12</v>
      </c>
      <c r="H612" s="28">
        <v>46100</v>
      </c>
      <c r="I612" s="29" t="s">
        <v>28</v>
      </c>
      <c r="J612" s="29">
        <v>2</v>
      </c>
      <c r="K612" s="30" t="s">
        <v>377</v>
      </c>
      <c r="M612" s="43" t="str">
        <v>problematic</v>
      </c>
      <c r="N612" s="43" t="str">
        <f t="shared" si="43"/>
        <v>*problematic*</v>
      </c>
      <c r="O612" s="43" t="str">
        <v>*filled*</v>
      </c>
      <c r="P612" s="43">
        <f t="shared" si="44"/>
        <v>2</v>
      </c>
      <c r="Q612" s="43" t="str">
        <v>*schema*</v>
      </c>
      <c r="R612" s="43">
        <v>1</v>
      </c>
      <c r="S612" s="43">
        <f t="shared" si="45"/>
        <v>2.95</v>
      </c>
      <c r="T612" s="43">
        <f t="shared" si="46"/>
        <v>1</v>
      </c>
    </row>
    <row r="613" spans="7:20">
      <c r="G613" s="62" cm="1">
        <f t="array" ref="G613">INDEX($D:$D, MATCH(1, (H613 &gt;= $B:$B) * (H613 &lt;= $C:$C), 0))</f>
        <v>12</v>
      </c>
      <c r="H613" s="28">
        <v>46100</v>
      </c>
      <c r="I613" s="29" t="s">
        <v>26</v>
      </c>
      <c r="J613" s="29">
        <v>2</v>
      </c>
      <c r="K613" s="30" t="s">
        <v>377</v>
      </c>
      <c r="M613" s="43" t="str">
        <v>bamboo</v>
      </c>
      <c r="N613" s="43" t="str">
        <f t="shared" si="43"/>
        <v>*bamboo*</v>
      </c>
      <c r="O613" s="43" t="str">
        <v>*register*</v>
      </c>
      <c r="P613" s="43">
        <f t="shared" si="44"/>
        <v>1</v>
      </c>
      <c r="Q613" s="43" t="str">
        <v>*clear*</v>
      </c>
      <c r="R613" s="43">
        <v>1</v>
      </c>
      <c r="S613" s="43">
        <f t="shared" si="45"/>
        <v>2.95</v>
      </c>
      <c r="T613" s="43">
        <f t="shared" si="46"/>
        <v>1</v>
      </c>
    </row>
    <row r="614" spans="7:20">
      <c r="G614" s="62" cm="1">
        <f t="array" ref="G614">INDEX($D:$D, MATCH(1, (H614 &gt;= $B:$B) * (H614 &lt;= $C:$C), 0))</f>
        <v>12</v>
      </c>
      <c r="H614" s="28">
        <v>46100</v>
      </c>
      <c r="I614" s="29" t="s">
        <v>24</v>
      </c>
      <c r="J614" s="29">
        <v>1</v>
      </c>
      <c r="K614" s="30" t="s">
        <v>377</v>
      </c>
      <c r="M614" s="43" t="str">
        <v>asset,</v>
      </c>
      <c r="N614" s="43" t="str">
        <f t="shared" si="43"/>
        <v>*asset*</v>
      </c>
      <c r="O614" s="43" t="str">
        <v>*etcs*</v>
      </c>
      <c r="P614" s="43">
        <f t="shared" si="44"/>
        <v>1</v>
      </c>
      <c r="Q614" s="43" t="str">
        <v>*restora*</v>
      </c>
      <c r="R614" s="43">
        <v>1</v>
      </c>
      <c r="S614" s="43">
        <f t="shared" si="45"/>
        <v>2.95</v>
      </c>
      <c r="T614" s="43">
        <f t="shared" si="46"/>
        <v>1</v>
      </c>
    </row>
    <row r="615" spans="7:20">
      <c r="G615" s="62" cm="1">
        <f t="array" ref="G615">INDEX($D:$D, MATCH(1, (H615 &gt;= $B:$B) * (H615 &lt;= $C:$C), 0))</f>
        <v>12</v>
      </c>
      <c r="H615" s="28">
        <v>46100</v>
      </c>
      <c r="I615" s="29" t="s">
        <v>16</v>
      </c>
      <c r="J615" s="29">
        <v>2</v>
      </c>
      <c r="K615" s="30" t="s">
        <v>377</v>
      </c>
      <c r="M615" s="43" t="str">
        <v>crosshair</v>
      </c>
      <c r="N615" s="43" t="str">
        <f t="shared" si="43"/>
        <v>*crosshair*</v>
      </c>
      <c r="O615" s="43" t="str">
        <v>*innova*</v>
      </c>
      <c r="P615" s="43">
        <f t="shared" si="44"/>
        <v>7</v>
      </c>
      <c r="Q615" s="43" t="str">
        <v>*redid*</v>
      </c>
      <c r="R615" s="43">
        <v>1</v>
      </c>
      <c r="S615" s="43">
        <f t="shared" si="45"/>
        <v>2.95</v>
      </c>
      <c r="T615" s="43">
        <f t="shared" si="46"/>
        <v>1</v>
      </c>
    </row>
    <row r="616" spans="7:20">
      <c r="G616" s="62" cm="1">
        <f t="array" ref="G616">INDEX($D:$D, MATCH(1, (H616 &gt;= $B:$B) * (H616 &lt;= $C:$C), 0))</f>
        <v>12</v>
      </c>
      <c r="H616" s="28">
        <v>46100</v>
      </c>
      <c r="I616" s="29" t="s">
        <v>34</v>
      </c>
      <c r="J616" s="29">
        <v>2</v>
      </c>
      <c r="K616" s="30" t="s">
        <v>377</v>
      </c>
      <c r="M616" s="43" t="str">
        <v>adjustments</v>
      </c>
      <c r="N616" s="43" t="str">
        <f t="shared" si="43"/>
        <v>*adjustments*</v>
      </c>
      <c r="O616" s="43" t="str">
        <v>*revis*</v>
      </c>
      <c r="P616" s="43">
        <f t="shared" si="44"/>
        <v>1</v>
      </c>
      <c r="Q616" s="43" t="str">
        <v>*graphical*</v>
      </c>
      <c r="R616" s="43">
        <v>1</v>
      </c>
      <c r="S616" s="43">
        <f t="shared" si="45"/>
        <v>2.95</v>
      </c>
      <c r="T616" s="43">
        <f t="shared" si="46"/>
        <v>1</v>
      </c>
    </row>
    <row r="617" spans="7:20">
      <c r="G617" s="62" cm="1">
        <f t="array" ref="G617">INDEX($D:$D, MATCH(1, (H617 &gt;= $B:$B) * (H617 &lt;= $C:$C), 0))</f>
        <v>12</v>
      </c>
      <c r="H617" s="28">
        <v>46100</v>
      </c>
      <c r="I617" s="29" t="s">
        <v>16</v>
      </c>
      <c r="J617" s="29">
        <v>1</v>
      </c>
      <c r="K617" s="30" t="s">
        <v>381</v>
      </c>
      <c r="M617" s="43" t="str">
        <v>integrate</v>
      </c>
      <c r="N617" s="43" t="str">
        <f t="shared" si="43"/>
        <v>*integrate*</v>
      </c>
      <c r="O617" s="43" t="str">
        <v>*mountain*</v>
      </c>
      <c r="P617" s="43">
        <f t="shared" si="44"/>
        <v>2</v>
      </c>
      <c r="Q617" s="43" t="str">
        <v>*band*</v>
      </c>
      <c r="R617" s="43">
        <v>1</v>
      </c>
      <c r="S617" s="43">
        <f t="shared" si="45"/>
        <v>2.95</v>
      </c>
      <c r="T617" s="43">
        <f t="shared" si="46"/>
        <v>1</v>
      </c>
    </row>
    <row r="618" spans="7:20" ht="30">
      <c r="G618" s="62" cm="1">
        <f t="array" ref="G618">INDEX($D:$D, MATCH(1, (H618 &gt;= $B:$B) * (H618 &lt;= $C:$C), 0))</f>
        <v>12</v>
      </c>
      <c r="H618" s="28">
        <v>46100</v>
      </c>
      <c r="I618" s="29" t="s">
        <v>34</v>
      </c>
      <c r="J618" s="29">
        <v>0.5</v>
      </c>
      <c r="K618" s="30" t="s">
        <v>382</v>
      </c>
      <c r="M618" s="43" t="str">
        <v>mechanic.</v>
      </c>
      <c r="N618" s="43" t="str">
        <f t="shared" si="43"/>
        <v>*mechanic*</v>
      </c>
      <c r="O618" s="43" t="str">
        <v>*sav*</v>
      </c>
      <c r="P618" s="43">
        <f t="shared" si="44"/>
        <v>5</v>
      </c>
      <c r="Q618" s="43" t="str">
        <v>*blend*</v>
      </c>
      <c r="R618" s="43">
        <v>1</v>
      </c>
      <c r="S618" s="43">
        <f t="shared" si="45"/>
        <v>2.95</v>
      </c>
      <c r="T618" s="43">
        <f t="shared" si="46"/>
        <v>1</v>
      </c>
    </row>
    <row r="619" spans="7:20">
      <c r="G619" s="62" cm="1">
        <f t="array" ref="G619">INDEX($D:$D, MATCH(1, (H619 &gt;= $B:$B) * (H619 &lt;= $C:$C), 0))</f>
        <v>12</v>
      </c>
      <c r="H619" s="28">
        <v>46100</v>
      </c>
      <c r="I619" s="29" t="s">
        <v>16</v>
      </c>
      <c r="J619" s="29">
        <v>1</v>
      </c>
      <c r="K619" s="30" t="s">
        <v>377</v>
      </c>
      <c r="M619" s="43" t="str">
        <v>Began</v>
      </c>
      <c r="N619" s="43" t="str">
        <f t="shared" si="43"/>
        <v>*began*</v>
      </c>
      <c r="O619" s="43" t="str">
        <v>*edits*</v>
      </c>
      <c r="P619" s="43">
        <f t="shared" si="44"/>
        <v>2</v>
      </c>
      <c r="Q619" s="43" t="str">
        <v>*pushed*</v>
      </c>
      <c r="R619" s="43">
        <v>1</v>
      </c>
      <c r="S619" s="43">
        <f t="shared" si="45"/>
        <v>2.95</v>
      </c>
      <c r="T619" s="43">
        <f t="shared" si="46"/>
        <v>1</v>
      </c>
    </row>
    <row r="620" spans="7:20">
      <c r="G620" s="62" cm="1">
        <f t="array" ref="G620">INDEX($D:$D, MATCH(1, (H620 &gt;= $B:$B) * (H620 &lt;= $C:$C), 0))</f>
        <v>12</v>
      </c>
      <c r="H620" s="28">
        <v>46101</v>
      </c>
      <c r="I620" s="29" t="s">
        <v>16</v>
      </c>
      <c r="J620" s="29">
        <v>5</v>
      </c>
      <c r="K620" s="30" t="s">
        <v>383</v>
      </c>
      <c r="M620" s="43" t="str">
        <v>placing</v>
      </c>
      <c r="N620" s="43" t="str">
        <f t="shared" si="43"/>
        <v>*plac*</v>
      </c>
      <c r="O620" s="43" t="str">
        <v>*packag*</v>
      </c>
      <c r="P620" s="43">
        <f t="shared" si="44"/>
        <v>10</v>
      </c>
      <c r="Q620" s="43" t="str">
        <v>*refine*</v>
      </c>
      <c r="R620" s="43">
        <v>1</v>
      </c>
      <c r="S620" s="43">
        <f t="shared" si="45"/>
        <v>2.95</v>
      </c>
      <c r="T620" s="43">
        <f t="shared" si="46"/>
        <v>1</v>
      </c>
    </row>
    <row r="621" spans="7:20">
      <c r="G621" s="62" cm="1">
        <f t="array" ref="G621">INDEX($D:$D, MATCH(1, (H621 &gt;= $B:$B) * (H621 &lt;= $C:$C), 0))</f>
        <v>12</v>
      </c>
      <c r="H621" s="28">
        <v>46101</v>
      </c>
      <c r="I621" s="29" t="s">
        <v>34</v>
      </c>
      <c r="J621" s="29">
        <v>5</v>
      </c>
      <c r="K621" s="30" t="s">
        <v>383</v>
      </c>
      <c r="M621" s="43" t="str">
        <v>falling</v>
      </c>
      <c r="N621" s="43" t="str">
        <f t="shared" si="43"/>
        <v>*fall*</v>
      </c>
      <c r="O621" s="43" t="str">
        <v>*interface*</v>
      </c>
      <c r="P621" s="43">
        <f t="shared" si="44"/>
        <v>2</v>
      </c>
      <c r="Q621" s="43" t="str">
        <v>*loca*</v>
      </c>
      <c r="R621" s="43">
        <v>1</v>
      </c>
      <c r="S621" s="43">
        <f t="shared" si="45"/>
        <v>2.95</v>
      </c>
      <c r="T621" s="43">
        <f t="shared" si="46"/>
        <v>1</v>
      </c>
    </row>
    <row r="622" spans="7:20">
      <c r="G622" s="62" cm="1">
        <f t="array" ref="G622">INDEX($D:$D, MATCH(1, (H622 &gt;= $B:$B) * (H622 &lt;= $C:$C), 0))</f>
        <v>12</v>
      </c>
      <c r="H622" s="28">
        <v>46101</v>
      </c>
      <c r="I622" s="29" t="s">
        <v>78</v>
      </c>
      <c r="J622" s="29">
        <v>5</v>
      </c>
      <c r="K622" s="30" t="s">
        <v>383</v>
      </c>
      <c r="M622" s="43" t="str">
        <v>finishing</v>
      </c>
      <c r="N622" s="43" t="str">
        <f t="shared" si="43"/>
        <v>*finish*</v>
      </c>
      <c r="O622" s="43" t="str">
        <v>*puzzles*</v>
      </c>
      <c r="P622" s="43">
        <f t="shared" si="44"/>
        <v>4</v>
      </c>
      <c r="Q622" s="43" t="str">
        <v>*connect*</v>
      </c>
      <c r="R622" s="43">
        <v>1</v>
      </c>
      <c r="S622" s="43">
        <f t="shared" si="45"/>
        <v>2.95</v>
      </c>
      <c r="T622" s="43">
        <f t="shared" si="46"/>
        <v>1</v>
      </c>
    </row>
    <row r="623" spans="7:20">
      <c r="G623" s="62" cm="1">
        <f t="array" ref="G623">INDEX($D:$D, MATCH(1, (H623 &gt;= $B:$B) * (H623 &lt;= $C:$C), 0))</f>
        <v>12</v>
      </c>
      <c r="H623" s="28">
        <v>46101</v>
      </c>
      <c r="I623" s="29" t="s">
        <v>24</v>
      </c>
      <c r="J623" s="29">
        <v>5</v>
      </c>
      <c r="K623" s="30" t="s">
        <v>383</v>
      </c>
      <c r="M623" s="43" t="str">
        <v>touches</v>
      </c>
      <c r="N623" s="43" t="str">
        <f t="shared" si="43"/>
        <v>*touches*</v>
      </c>
      <c r="O623" s="43" t="str">
        <v>*2*</v>
      </c>
      <c r="P623" s="43">
        <f t="shared" si="44"/>
        <v>3</v>
      </c>
      <c r="Q623" s="43" t="str">
        <v>*categories*</v>
      </c>
      <c r="R623" s="43">
        <v>1</v>
      </c>
      <c r="S623" s="43">
        <f t="shared" si="45"/>
        <v>2.95</v>
      </c>
      <c r="T623" s="43">
        <f t="shared" si="46"/>
        <v>1</v>
      </c>
    </row>
    <row r="624" spans="7:20">
      <c r="G624" s="62" cm="1">
        <f t="array" ref="G624">INDEX($D:$D, MATCH(1, (H624 &gt;= $B:$B) * (H624 &lt;= $C:$C), 0))</f>
        <v>12</v>
      </c>
      <c r="H624" s="28">
        <v>46101</v>
      </c>
      <c r="I624" s="29" t="s">
        <v>28</v>
      </c>
      <c r="J624" s="29">
        <v>5</v>
      </c>
      <c r="K624" s="30" t="s">
        <v>383</v>
      </c>
      <c r="M624" s="43" t="str">
        <v>integrating</v>
      </c>
      <c r="N624" s="43" t="str">
        <f t="shared" si="43"/>
        <v>*integrat*</v>
      </c>
      <c r="O624" s="43" t="str">
        <v>*calculate*</v>
      </c>
      <c r="P624" s="43">
        <f t="shared" si="44"/>
        <v>1</v>
      </c>
      <c r="Q624" s="43" t="str">
        <v>*reskin*</v>
      </c>
      <c r="R624" s="43">
        <v>1</v>
      </c>
      <c r="S624" s="43">
        <f t="shared" si="45"/>
        <v>2.95</v>
      </c>
      <c r="T624" s="43">
        <f t="shared" si="46"/>
        <v>1</v>
      </c>
    </row>
    <row r="625" spans="7:20">
      <c r="G625" s="62" cm="1">
        <f t="array" ref="G625">INDEX($D:$D, MATCH(1, (H625 &gt;= $B:$B) * (H625 &lt;= $C:$C), 0))</f>
        <v>12</v>
      </c>
      <c r="H625" s="28">
        <v>46101</v>
      </c>
      <c r="I625" s="29" t="s">
        <v>26</v>
      </c>
      <c r="J625" s="29">
        <v>5</v>
      </c>
      <c r="K625" s="30" t="s">
        <v>383</v>
      </c>
      <c r="M625" s="43" t="str">
        <v>tile</v>
      </c>
      <c r="N625" s="43" t="str">
        <f t="shared" si="43"/>
        <v>*tile*</v>
      </c>
      <c r="O625" s="43" t="str">
        <v>*distance*</v>
      </c>
      <c r="P625" s="43">
        <f t="shared" si="44"/>
        <v>1</v>
      </c>
      <c r="Q625" s="43" t="str">
        <v>*controls*</v>
      </c>
      <c r="R625" s="43">
        <v>1</v>
      </c>
      <c r="S625" s="43">
        <f t="shared" si="45"/>
        <v>2.95</v>
      </c>
      <c r="T625" s="43">
        <f t="shared" si="46"/>
        <v>1</v>
      </c>
    </row>
    <row r="626" spans="7:20">
      <c r="G626" s="62" cm="1">
        <f t="array" ref="G626">INDEX($D:$D, MATCH(1, (H626 &gt;= $B:$B) * (H626 &lt;= $C:$C), 0))</f>
        <v>12</v>
      </c>
      <c r="H626" s="28">
        <v>46104</v>
      </c>
      <c r="I626" s="29" t="s">
        <v>26</v>
      </c>
      <c r="J626" s="29">
        <v>1</v>
      </c>
      <c r="K626" s="30" t="s">
        <v>384</v>
      </c>
      <c r="M626" s="43" t="str">
        <v>logic,</v>
      </c>
      <c r="N626" s="43" t="str">
        <f t="shared" si="43"/>
        <v>*logic*</v>
      </c>
      <c r="O626" s="43" t="str">
        <v>*length*</v>
      </c>
      <c r="P626" s="43">
        <f t="shared" si="44"/>
        <v>3</v>
      </c>
      <c r="Q626" s="43" t="str">
        <v>*layout*</v>
      </c>
      <c r="R626" s="43">
        <v>1</v>
      </c>
      <c r="S626" s="43">
        <f t="shared" si="45"/>
        <v>2.95</v>
      </c>
      <c r="T626" s="43">
        <f t="shared" si="46"/>
        <v>1</v>
      </c>
    </row>
    <row r="627" spans="7:20">
      <c r="G627" s="62" cm="1">
        <f t="array" ref="G627">INDEX($D:$D, MATCH(1, (H627 &gt;= $B:$B) * (H627 &lt;= $C:$C), 0))</f>
        <v>12</v>
      </c>
      <c r="H627" s="28">
        <v>46104</v>
      </c>
      <c r="I627" s="29" t="s">
        <v>28</v>
      </c>
      <c r="J627" s="29">
        <v>1.5</v>
      </c>
      <c r="K627" s="30" t="s">
        <v>385</v>
      </c>
      <c r="M627" s="43" t="str">
        <v>reworked</v>
      </c>
      <c r="N627" s="43" t="str">
        <f t="shared" si="43"/>
        <v>*reworked*</v>
      </c>
      <c r="O627" s="43" t="str">
        <v>*adjust*</v>
      </c>
      <c r="P627" s="43">
        <f t="shared" si="44"/>
        <v>3</v>
      </c>
      <c r="Q627" s="43" t="str">
        <v>*modeled*</v>
      </c>
      <c r="R627" s="43">
        <v>1</v>
      </c>
      <c r="S627" s="43">
        <f t="shared" si="45"/>
        <v>2.95</v>
      </c>
      <c r="T627" s="43">
        <f t="shared" si="46"/>
        <v>1</v>
      </c>
    </row>
    <row r="628" spans="7:20">
      <c r="G628" s="62" cm="1">
        <f t="array" ref="G628">INDEX($D:$D, MATCH(1, (H628 &gt;= $B:$B) * (H628 &lt;= $C:$C), 0))</f>
        <v>12</v>
      </c>
      <c r="H628" s="28">
        <v>46104</v>
      </c>
      <c r="I628" s="29" t="s">
        <v>16</v>
      </c>
      <c r="J628" s="29">
        <v>0.5</v>
      </c>
      <c r="K628" s="30" t="s">
        <v>386</v>
      </c>
      <c r="M628" s="43" t="str">
        <v>BP,</v>
      </c>
      <c r="N628" s="43" t="str">
        <f t="shared" si="43"/>
        <v>*bp*</v>
      </c>
      <c r="O628" s="43" t="str">
        <v>*collects*</v>
      </c>
      <c r="P628" s="43">
        <f t="shared" si="44"/>
        <v>0</v>
      </c>
      <c r="Q628" s="43" t="str">
        <v>*poly*</v>
      </c>
      <c r="R628" s="43">
        <v>1</v>
      </c>
      <c r="S628" s="43">
        <f t="shared" si="45"/>
        <v>2.95</v>
      </c>
      <c r="T628" s="43">
        <f t="shared" si="46"/>
        <v>1</v>
      </c>
    </row>
    <row r="629" spans="7:20">
      <c r="G629" s="62" cm="1">
        <f t="array" ref="G629">INDEX($D:$D, MATCH(1, (H629 &gt;= $B:$B) * (H629 &lt;= $C:$C), 0))</f>
        <v>12</v>
      </c>
      <c r="H629" s="28">
        <v>46104</v>
      </c>
      <c r="I629" s="29" t="s">
        <v>16</v>
      </c>
      <c r="J629" s="29">
        <v>1</v>
      </c>
      <c r="K629" s="30" t="s">
        <v>77</v>
      </c>
      <c r="M629" s="43" t="str">
        <v>2x2,</v>
      </c>
      <c r="N629" s="43" t="str">
        <f t="shared" si="43"/>
        <v>*2x2*</v>
      </c>
      <c r="O629" s="43" t="str">
        <v>*spin*</v>
      </c>
      <c r="P629" s="43">
        <f t="shared" si="44"/>
        <v>1</v>
      </c>
      <c r="Q629" s="43" t="str">
        <v>*needed*</v>
      </c>
      <c r="R629" s="43">
        <v>1</v>
      </c>
      <c r="S629" s="43">
        <f t="shared" si="45"/>
        <v>2.95</v>
      </c>
      <c r="T629" s="43">
        <f t="shared" si="46"/>
        <v>1</v>
      </c>
    </row>
    <row r="630" spans="7:20">
      <c r="G630" s="62" cm="1">
        <f t="array" ref="G630">INDEX($D:$D, MATCH(1, (H630 &gt;= $B:$B) * (H630 &lt;= $C:$C), 0))</f>
        <v>12</v>
      </c>
      <c r="H630" s="28">
        <v>46104</v>
      </c>
      <c r="I630" s="29" t="s">
        <v>34</v>
      </c>
      <c r="J630" s="29">
        <v>1</v>
      </c>
      <c r="K630" s="30" t="s">
        <v>77</v>
      </c>
      <c r="M630" s="43" t="str">
        <v>3x3,</v>
      </c>
      <c r="N630" s="43" t="str">
        <f t="shared" si="43"/>
        <v>*3x3*</v>
      </c>
      <c r="O630" s="43" t="str">
        <v>*bounce*</v>
      </c>
      <c r="P630" s="43">
        <f t="shared" si="44"/>
        <v>1</v>
      </c>
      <c r="Q630" s="43" t="str">
        <v>*had*</v>
      </c>
      <c r="R630" s="43">
        <v>1</v>
      </c>
      <c r="S630" s="43">
        <f t="shared" si="45"/>
        <v>2.95</v>
      </c>
      <c r="T630" s="43">
        <f t="shared" si="46"/>
        <v>1</v>
      </c>
    </row>
    <row r="631" spans="7:20">
      <c r="G631" s="62" cm="1">
        <f t="array" ref="G631">INDEX($D:$D, MATCH(1, (H631 &gt;= $B:$B) * (H631 &lt;= $C:$C), 0))</f>
        <v>12</v>
      </c>
      <c r="H631" s="28">
        <v>46104</v>
      </c>
      <c r="I631" s="29" t="s">
        <v>26</v>
      </c>
      <c r="J631" s="29">
        <v>1</v>
      </c>
      <c r="K631" s="30" t="s">
        <v>77</v>
      </c>
      <c r="M631" s="43" t="str">
        <v>4x4</v>
      </c>
      <c r="N631" s="43" t="str">
        <f t="shared" si="43"/>
        <v>*4x4*</v>
      </c>
      <c r="O631" s="43" t="str">
        <v>*walk*</v>
      </c>
      <c r="P631" s="43">
        <f t="shared" si="44"/>
        <v>4</v>
      </c>
      <c r="Q631" s="43" t="str">
        <v>*bit*</v>
      </c>
      <c r="R631" s="43">
        <v>1</v>
      </c>
      <c r="S631" s="43">
        <f t="shared" si="45"/>
        <v>2.95</v>
      </c>
      <c r="T631" s="43">
        <f t="shared" si="46"/>
        <v>1</v>
      </c>
    </row>
    <row r="632" spans="7:20">
      <c r="G632" s="62" cm="1">
        <f t="array" ref="G632">INDEX($D:$D, MATCH(1, (H632 &gt;= $B:$B) * (H632 &lt;= $C:$C), 0))</f>
        <v>12</v>
      </c>
      <c r="H632" s="28">
        <v>46104</v>
      </c>
      <c r="I632" s="29" t="s">
        <v>28</v>
      </c>
      <c r="J632" s="29">
        <v>1</v>
      </c>
      <c r="K632" s="30" t="s">
        <v>77</v>
      </c>
      <c r="M632" s="43" t="str">
        <v>grids</v>
      </c>
      <c r="N632" s="43" t="str">
        <f t="shared" ref="N632:N695" si="47">_xlfn.CONCAT("*",TRIM(CLEAN(_xlfn.REGEXREPLACE(LOWER($M632),$N$51,""))),"*")</f>
        <v>*grids*</v>
      </c>
      <c r="O632" s="43" t="str">
        <v>*speed*</v>
      </c>
      <c r="P632" s="43">
        <f t="shared" ref="P632:P695" si="48">COUNTIF($K$5:$K$1000,$O632)</f>
        <v>1</v>
      </c>
      <c r="Q632" s="43" t="str">
        <v>*tiles*</v>
      </c>
      <c r="R632" s="43">
        <v>1</v>
      </c>
      <c r="S632" s="43">
        <f t="shared" ref="S632:S695" si="49">ROUND(LOG(COUNTA($M$54:$M$1000)/R632,10),2)</f>
        <v>2.95</v>
      </c>
      <c r="T632" s="43">
        <f t="shared" si="46"/>
        <v>1</v>
      </c>
    </row>
    <row r="633" spans="7:20">
      <c r="G633" s="62" cm="1">
        <f t="array" ref="G633">INDEX($D:$D, MATCH(1, (H633 &gt;= $B:$B) * (H633 &lt;= $C:$C), 0))</f>
        <v>12</v>
      </c>
      <c r="H633" s="28">
        <v>46104</v>
      </c>
      <c r="I633" s="29" t="s">
        <v>78</v>
      </c>
      <c r="J633" s="29">
        <v>1</v>
      </c>
      <c r="K633" s="30" t="s">
        <v>77</v>
      </c>
      <c r="M633" s="43" t="str">
        <v>drums,</v>
      </c>
      <c r="N633" s="43" t="str">
        <f t="shared" si="47"/>
        <v>*drums*</v>
      </c>
      <c r="O633" s="43" t="str">
        <v>*collec*</v>
      </c>
      <c r="P633" s="43">
        <f t="shared" si="48"/>
        <v>6</v>
      </c>
      <c r="Q633" s="43" t="str">
        <v>*expand*</v>
      </c>
      <c r="R633" s="43">
        <v>1</v>
      </c>
      <c r="S633" s="43">
        <f t="shared" si="49"/>
        <v>2.95</v>
      </c>
      <c r="T633" s="43">
        <f t="shared" ref="T633:T696" si="50">ROUND($S633/$S632,2)</f>
        <v>1</v>
      </c>
    </row>
    <row r="634" spans="7:20">
      <c r="G634" s="62" cm="1">
        <f t="array" ref="G634">INDEX($D:$D, MATCH(1, (H634 &gt;= $B:$B) * (H634 &lt;= $C:$C), 0))</f>
        <v>12</v>
      </c>
      <c r="H634" s="28">
        <v>46104</v>
      </c>
      <c r="I634" s="29" t="s">
        <v>24</v>
      </c>
      <c r="J634" s="29">
        <v>1</v>
      </c>
      <c r="K634" s="30" t="s">
        <v>77</v>
      </c>
      <c r="M634" s="43" t="str">
        <v>segmented</v>
      </c>
      <c r="N634" s="43" t="str">
        <f t="shared" si="47"/>
        <v>*segmented*</v>
      </c>
      <c r="O634" s="43" t="str">
        <v>*jingle*</v>
      </c>
      <c r="P634" s="43">
        <f t="shared" si="48"/>
        <v>1</v>
      </c>
      <c r="Q634" s="43" t="str">
        <v>*size*</v>
      </c>
      <c r="R634" s="43">
        <v>1</v>
      </c>
      <c r="S634" s="43">
        <f t="shared" si="49"/>
        <v>2.95</v>
      </c>
      <c r="T634" s="43">
        <f t="shared" si="50"/>
        <v>1</v>
      </c>
    </row>
    <row r="635" spans="7:20">
      <c r="G635" s="62" cm="1">
        <f t="array" ref="G635">INDEX($D:$D, MATCH(1, (H635 &gt;= $B:$B) * (H635 &lt;= $C:$C), 0))</f>
        <v>13</v>
      </c>
      <c r="H635" s="28">
        <v>46106</v>
      </c>
      <c r="I635" s="29" t="s">
        <v>28</v>
      </c>
      <c r="J635" s="29">
        <v>1.5</v>
      </c>
      <c r="K635" s="30" t="s">
        <v>229</v>
      </c>
      <c r="M635" s="43" t="str">
        <v>images</v>
      </c>
      <c r="N635" s="43" t="str">
        <f t="shared" si="47"/>
        <v>*images*</v>
      </c>
      <c r="O635" s="43" t="str">
        <v>*obstacle*</v>
      </c>
      <c r="P635" s="43">
        <f t="shared" si="48"/>
        <v>1</v>
      </c>
      <c r="Q635" s="43" t="str">
        <v>*exit*</v>
      </c>
      <c r="R635" s="43">
        <v>1</v>
      </c>
      <c r="S635" s="43">
        <f t="shared" si="49"/>
        <v>2.95</v>
      </c>
      <c r="T635" s="43">
        <f t="shared" si="50"/>
        <v>1</v>
      </c>
    </row>
    <row r="636" spans="7:20">
      <c r="G636" s="62" cm="1">
        <f t="array" ref="G636">INDEX($D:$D, MATCH(1, (H636 &gt;= $B:$B) * (H636 &lt;= $C:$C), 0))</f>
        <v>13</v>
      </c>
      <c r="H636" s="28">
        <v>46106</v>
      </c>
      <c r="I636" s="29" t="s">
        <v>26</v>
      </c>
      <c r="J636" s="29">
        <v>1.5</v>
      </c>
      <c r="K636" s="30" t="s">
        <v>229</v>
      </c>
      <c r="M636" s="43" t="str">
        <v>separate</v>
      </c>
      <c r="N636" s="43" t="str">
        <f t="shared" si="47"/>
        <v>*separate*</v>
      </c>
      <c r="O636" s="43" t="str">
        <v>*exe*</v>
      </c>
      <c r="P636" s="43">
        <f t="shared" si="48"/>
        <v>1</v>
      </c>
      <c r="Q636" s="43" t="str">
        <v>*proper*</v>
      </c>
      <c r="R636" s="43">
        <v>1</v>
      </c>
      <c r="S636" s="43">
        <f t="shared" si="49"/>
        <v>2.95</v>
      </c>
      <c r="T636" s="43">
        <f t="shared" si="50"/>
        <v>1</v>
      </c>
    </row>
    <row r="637" spans="7:20">
      <c r="G637" s="62" cm="1">
        <f t="array" ref="G637">INDEX($D:$D, MATCH(1, (H637 &gt;= $B:$B) * (H637 &lt;= $C:$C), 0))</f>
        <v>13</v>
      </c>
      <c r="H637" s="28">
        <v>46106</v>
      </c>
      <c r="I637" s="29" t="s">
        <v>78</v>
      </c>
      <c r="J637" s="29">
        <v>1.5</v>
      </c>
      <c r="K637" s="30" t="s">
        <v>229</v>
      </c>
      <c r="M637" s="43" t="str">
        <v>onto</v>
      </c>
      <c r="N637" s="43" t="str">
        <f t="shared" si="47"/>
        <v>*onto*</v>
      </c>
      <c r="O637" s="43" t="str">
        <v>*further*</v>
      </c>
      <c r="P637" s="43">
        <f t="shared" si="48"/>
        <v>1</v>
      </c>
      <c r="Q637" s="43" t="str">
        <v>*aside*</v>
      </c>
      <c r="R637" s="43">
        <v>1</v>
      </c>
      <c r="S637" s="43">
        <f t="shared" si="49"/>
        <v>2.95</v>
      </c>
      <c r="T637" s="43">
        <f t="shared" si="50"/>
        <v>1</v>
      </c>
    </row>
    <row r="638" spans="7:20">
      <c r="G638" s="62" cm="1">
        <f t="array" ref="G638">INDEX($D:$D, MATCH(1, (H638 &gt;= $B:$B) * (H638 &lt;= $C:$C), 0))</f>
        <v>13</v>
      </c>
      <c r="H638" s="28">
        <v>46106</v>
      </c>
      <c r="I638" s="29" t="s">
        <v>34</v>
      </c>
      <c r="J638" s="29">
        <v>1.5</v>
      </c>
      <c r="K638" s="30" t="s">
        <v>229</v>
      </c>
      <c r="M638" s="43" t="str">
        <v>each</v>
      </c>
      <c r="N638" s="43" t="str">
        <f t="shared" si="47"/>
        <v>*each*</v>
      </c>
      <c r="O638" s="43" t="str">
        <v>*internal*</v>
      </c>
      <c r="P638" s="43">
        <f t="shared" si="48"/>
        <v>4</v>
      </c>
      <c r="Q638" s="43" t="str">
        <v>*checker*</v>
      </c>
      <c r="R638" s="43">
        <v>1</v>
      </c>
      <c r="S638" s="43">
        <f t="shared" si="49"/>
        <v>2.95</v>
      </c>
      <c r="T638" s="43">
        <f t="shared" si="50"/>
        <v>1</v>
      </c>
    </row>
    <row r="639" spans="7:20">
      <c r="G639" s="62" cm="1">
        <f t="array" ref="G639">INDEX($D:$D, MATCH(1, (H639 &gt;= $B:$B) * (H639 &lt;= $C:$C), 0))</f>
        <v>13</v>
      </c>
      <c r="H639" s="28">
        <v>46106</v>
      </c>
      <c r="I639" s="29" t="s">
        <v>16</v>
      </c>
      <c r="J639" s="29">
        <v>1.5</v>
      </c>
      <c r="K639" s="30" t="s">
        <v>229</v>
      </c>
      <c r="M639" s="43" t="str">
        <v>decal,</v>
      </c>
      <c r="N639" s="43" t="str">
        <f t="shared" si="47"/>
        <v>*decal*</v>
      </c>
      <c r="O639" s="43" t="str">
        <v>*results*</v>
      </c>
      <c r="P639" s="43">
        <f t="shared" si="48"/>
        <v>3</v>
      </c>
      <c r="Q639" s="43" t="str">
        <v>*persistent*</v>
      </c>
      <c r="R639" s="43">
        <v>1</v>
      </c>
      <c r="S639" s="43">
        <f t="shared" si="49"/>
        <v>2.95</v>
      </c>
      <c r="T639" s="43">
        <f t="shared" si="50"/>
        <v>1</v>
      </c>
    </row>
    <row r="640" spans="7:20">
      <c r="G640" s="62" cm="1">
        <f t="array" ref="G640">INDEX($D:$D, MATCH(1, (H640 &gt;= $B:$B) * (H640 &lt;= $C:$C), 0))</f>
        <v>13</v>
      </c>
      <c r="H640" s="28">
        <v>46106</v>
      </c>
      <c r="I640" s="29" t="s">
        <v>24</v>
      </c>
      <c r="J640" s="29">
        <v>1.5</v>
      </c>
      <c r="K640" s="30" t="s">
        <v>229</v>
      </c>
      <c r="M640" s="43" t="str">
        <v>matching</v>
      </c>
      <c r="N640" s="43" t="str">
        <f t="shared" si="47"/>
        <v>*match*</v>
      </c>
      <c r="O640" s="43" t="str">
        <v>*caves*</v>
      </c>
      <c r="P640" s="43">
        <f t="shared" si="48"/>
        <v>1</v>
      </c>
      <c r="Q640" s="43" t="str">
        <v>*picked*</v>
      </c>
      <c r="R640" s="43">
        <v>1</v>
      </c>
      <c r="S640" s="43">
        <f t="shared" si="49"/>
        <v>2.95</v>
      </c>
      <c r="T640" s="43">
        <f t="shared" si="50"/>
        <v>1</v>
      </c>
    </row>
    <row r="641" spans="7:20">
      <c r="G641" s="62" cm="1">
        <f t="array" ref="G641">INDEX($D:$D, MATCH(1, (H641 &gt;= $B:$B) * (H641 &lt;= $C:$C), 0))</f>
        <v>13</v>
      </c>
      <c r="H641" s="28">
        <v>46109</v>
      </c>
      <c r="I641" s="29" t="s">
        <v>78</v>
      </c>
      <c r="J641" s="29">
        <v>1.5</v>
      </c>
      <c r="K641" s="30" t="s">
        <v>387</v>
      </c>
      <c r="M641" s="43" t="str">
        <v>symbols</v>
      </c>
      <c r="N641" s="43" t="str">
        <f t="shared" si="47"/>
        <v>*symbols*</v>
      </c>
      <c r="O641" s="43" t="str">
        <v>*simple*</v>
      </c>
      <c r="P641" s="43">
        <f t="shared" si="48"/>
        <v>2</v>
      </c>
      <c r="Q641" s="43" t="str">
        <v>*unit*</v>
      </c>
      <c r="R641" s="43">
        <v>1</v>
      </c>
      <c r="S641" s="43">
        <f t="shared" si="49"/>
        <v>2.95</v>
      </c>
      <c r="T641" s="43">
        <f t="shared" si="50"/>
        <v>1</v>
      </c>
    </row>
    <row r="642" spans="7:20">
      <c r="G642" s="62" cm="1">
        <f t="array" ref="G642">INDEX($D:$D, MATCH(1, (H642 &gt;= $B:$B) * (H642 &lt;= $C:$C), 0))</f>
        <v>13</v>
      </c>
      <c r="H642" s="28">
        <v>46110</v>
      </c>
      <c r="I642" s="29" t="s">
        <v>28</v>
      </c>
      <c r="J642" s="29">
        <v>4</v>
      </c>
      <c r="K642" s="30" t="s">
        <v>388</v>
      </c>
      <c r="M642" s="43" t="str">
        <v>nearby</v>
      </c>
      <c r="N642" s="43" t="str">
        <f t="shared" si="47"/>
        <v>*nearby*</v>
      </c>
      <c r="O642" s="43" t="str">
        <v>*water*</v>
      </c>
      <c r="P642" s="43">
        <f t="shared" si="48"/>
        <v>2</v>
      </c>
      <c r="Q642" s="43" t="str">
        <v>*spreadsheet*</v>
      </c>
      <c r="R642" s="43">
        <v>1</v>
      </c>
      <c r="S642" s="43">
        <f t="shared" si="49"/>
        <v>2.95</v>
      </c>
      <c r="T642" s="43">
        <f t="shared" si="50"/>
        <v>1</v>
      </c>
    </row>
    <row r="643" spans="7:20">
      <c r="G643" s="62" cm="1">
        <f t="array" ref="G643">INDEX($D:$D, MATCH(1, (H643 &gt;= $B:$B) * (H643 &lt;= $C:$C), 0))</f>
        <v>13</v>
      </c>
      <c r="H643" s="28">
        <v>46110</v>
      </c>
      <c r="I643" s="29" t="s">
        <v>16</v>
      </c>
      <c r="J643" s="29">
        <v>1.5</v>
      </c>
      <c r="K643" s="30" t="s">
        <v>389</v>
      </c>
      <c r="M643" s="43" t="str">
        <v>glow</v>
      </c>
      <c r="N643" s="43" t="str">
        <f t="shared" si="47"/>
        <v>*glow*</v>
      </c>
      <c r="O643" s="43" t="str">
        <v>*collision*</v>
      </c>
      <c r="P643" s="43">
        <f t="shared" si="48"/>
        <v>4</v>
      </c>
      <c r="Q643" s="43" t="str">
        <v>*zone*</v>
      </c>
      <c r="R643" s="43">
        <v>1</v>
      </c>
      <c r="S643" s="43">
        <f t="shared" si="49"/>
        <v>2.95</v>
      </c>
      <c r="T643" s="43">
        <f t="shared" si="50"/>
        <v>1</v>
      </c>
    </row>
    <row r="644" spans="7:20">
      <c r="G644" s="62" cm="1">
        <f t="array" ref="G644">INDEX($D:$D, MATCH(1, (H644 &gt;= $B:$B) * (H644 &lt;= $C:$C), 0))</f>
        <v>13</v>
      </c>
      <c r="H644" s="28">
        <v>46110</v>
      </c>
      <c r="I644" s="29" t="s">
        <v>16</v>
      </c>
      <c r="J644" s="29">
        <v>4</v>
      </c>
      <c r="K644" s="30" t="s">
        <v>390</v>
      </c>
      <c r="M644" s="43" t="str">
        <v>effect</v>
      </c>
      <c r="N644" s="43" t="str">
        <f t="shared" si="47"/>
        <v>*effect*</v>
      </c>
      <c r="O644" s="43" t="str">
        <v>*wait*</v>
      </c>
      <c r="P644" s="43">
        <f t="shared" si="48"/>
        <v>1</v>
      </c>
      <c r="Q644" s="43" t="str">
        <v>*leads*</v>
      </c>
      <c r="R644" s="43">
        <v>1</v>
      </c>
      <c r="S644" s="43">
        <f t="shared" si="49"/>
        <v>2.95</v>
      </c>
      <c r="T644" s="43">
        <f t="shared" si="50"/>
        <v>1</v>
      </c>
    </row>
    <row r="645" spans="7:20">
      <c r="G645" s="62" cm="1">
        <f t="array" ref="G645">INDEX($D:$D, MATCH(1, (H645 &gt;= $B:$B) * (H645 &lt;= $C:$C), 0))</f>
        <v>13</v>
      </c>
      <c r="H645" s="28">
        <v>46111</v>
      </c>
      <c r="I645" s="29" t="s">
        <v>24</v>
      </c>
      <c r="J645" s="29">
        <v>2.5</v>
      </c>
      <c r="K645" s="30" t="s">
        <v>391</v>
      </c>
      <c r="M645" s="43" t="str">
        <v>all</v>
      </c>
      <c r="N645" s="43" t="str">
        <f t="shared" si="47"/>
        <v>*all*</v>
      </c>
      <c r="O645" s="43" t="str">
        <v>*until*</v>
      </c>
      <c r="P645" s="43">
        <f t="shared" si="48"/>
        <v>1</v>
      </c>
      <c r="Q645" s="43" t="str">
        <v>*sphere*</v>
      </c>
      <c r="R645" s="43">
        <v>1</v>
      </c>
      <c r="S645" s="43">
        <f t="shared" si="49"/>
        <v>2.95</v>
      </c>
      <c r="T645" s="43">
        <f t="shared" si="50"/>
        <v>1</v>
      </c>
    </row>
    <row r="646" spans="7:20" ht="30">
      <c r="G646" s="62" cm="1">
        <f t="array" ref="G646">INDEX($D:$D, MATCH(1, (H646 &gt;= $B:$B) * (H646 &lt;= $C:$C), 0))</f>
        <v>13</v>
      </c>
      <c r="H646" s="28">
        <v>46110</v>
      </c>
      <c r="I646" s="29" t="s">
        <v>26</v>
      </c>
      <c r="J646" s="29">
        <v>2</v>
      </c>
      <c r="K646" s="30" t="s">
        <v>392</v>
      </c>
      <c r="M646" s="43" t="str">
        <v>5</v>
      </c>
      <c r="N646" s="43" t="str">
        <f t="shared" si="47"/>
        <v>*5*</v>
      </c>
      <c r="O646" s="43" t="str">
        <v>*is*</v>
      </c>
      <c r="P646" s="43">
        <f t="shared" si="48"/>
        <v>53</v>
      </c>
      <c r="Q646" s="43" t="str">
        <v>*changed*</v>
      </c>
      <c r="R646" s="43">
        <v>1</v>
      </c>
      <c r="S646" s="43">
        <f t="shared" si="49"/>
        <v>2.95</v>
      </c>
      <c r="T646" s="43">
        <f t="shared" si="50"/>
        <v>1</v>
      </c>
    </row>
    <row r="647" spans="7:20" ht="30">
      <c r="G647" s="62" cm="1">
        <f t="array" ref="G647">INDEX($D:$D, MATCH(1, (H647 &gt;= $B:$B) * (H647 &lt;= $C:$C), 0))</f>
        <v>13</v>
      </c>
      <c r="H647" s="28">
        <v>46111</v>
      </c>
      <c r="I647" s="29" t="s">
        <v>26</v>
      </c>
      <c r="J647" s="29">
        <v>3</v>
      </c>
      <c r="K647" s="30" t="s">
        <v>392</v>
      </c>
      <c r="M647" s="43" t="str">
        <v>varying</v>
      </c>
      <c r="N647" s="43" t="str">
        <f t="shared" si="47"/>
        <v>*vary*</v>
      </c>
      <c r="O647" s="43" t="str">
        <v>*documents*</v>
      </c>
      <c r="P647" s="43">
        <f t="shared" si="48"/>
        <v>1</v>
      </c>
      <c r="Q647" s="43" t="str">
        <v>*constrained*</v>
      </c>
      <c r="R647" s="43">
        <v>1</v>
      </c>
      <c r="S647" s="43">
        <f t="shared" si="49"/>
        <v>2.95</v>
      </c>
      <c r="T647" s="43">
        <f t="shared" si="50"/>
        <v>1</v>
      </c>
    </row>
    <row r="648" spans="7:20">
      <c r="G648" s="62" cm="1">
        <f t="array" ref="G648">INDEX($D:$D, MATCH(1, (H648 &gt;= $B:$B) * (H648 &lt;= $C:$C), 0))</f>
        <v>13</v>
      </c>
      <c r="H648" s="28">
        <v>46111</v>
      </c>
      <c r="I648" s="29" t="s">
        <v>28</v>
      </c>
      <c r="J648" s="29">
        <v>1</v>
      </c>
      <c r="K648" s="30" t="s">
        <v>393</v>
      </c>
      <c r="M648" s="43" t="str">
        <v>lengths</v>
      </c>
      <c r="N648" s="43" t="str">
        <f t="shared" si="47"/>
        <v>*lengths*</v>
      </c>
      <c r="O648" s="43" t="str">
        <v>*external*</v>
      </c>
      <c r="P648" s="43">
        <f t="shared" si="48"/>
        <v>3</v>
      </c>
      <c r="Q648" s="43" t="str">
        <v>*meshes*</v>
      </c>
      <c r="R648" s="43">
        <v>1</v>
      </c>
      <c r="S648" s="43">
        <f t="shared" si="49"/>
        <v>2.95</v>
      </c>
      <c r="T648" s="43">
        <f t="shared" si="50"/>
        <v>1</v>
      </c>
    </row>
    <row r="649" spans="7:20" ht="30">
      <c r="G649" s="62" cm="1">
        <f t="array" ref="G649">INDEX($D:$D, MATCH(1, (H649 &gt;= $B:$B) * (H649 &lt;= $C:$C), 0))</f>
        <v>13</v>
      </c>
      <c r="H649" s="28">
        <v>46111</v>
      </c>
      <c r="I649" s="29" t="s">
        <v>78</v>
      </c>
      <c r="J649" s="29">
        <v>1.25</v>
      </c>
      <c r="K649" s="30" t="s">
        <v>394</v>
      </c>
      <c r="M649" s="43" t="str">
        <v>placement</v>
      </c>
      <c r="N649" s="43" t="str">
        <f t="shared" si="47"/>
        <v>*placement*</v>
      </c>
      <c r="O649" s="43" t="str">
        <v>*playtests*</v>
      </c>
      <c r="P649" s="43">
        <f t="shared" si="48"/>
        <v>1</v>
      </c>
      <c r="Q649" s="43" t="str">
        <v>*replace*</v>
      </c>
      <c r="R649" s="43">
        <v>1</v>
      </c>
      <c r="S649" s="43">
        <f t="shared" si="49"/>
        <v>2.95</v>
      </c>
      <c r="T649" s="43">
        <f t="shared" si="50"/>
        <v>1</v>
      </c>
    </row>
    <row r="650" spans="7:20" ht="30">
      <c r="G650" s="62" cm="1">
        <f t="array" ref="G650">INDEX($D:$D, MATCH(1, (H650 &gt;= $B:$B) * (H650 &lt;= $C:$C), 0))</f>
        <v>13</v>
      </c>
      <c r="H650" s="28">
        <v>46111</v>
      </c>
      <c r="I650" s="29" t="s">
        <v>24</v>
      </c>
      <c r="J650" s="29">
        <v>5.5</v>
      </c>
      <c r="K650" s="30" t="s">
        <v>395</v>
      </c>
      <c r="M650" s="43" t="str">
        <v>trouble</v>
      </c>
      <c r="N650" s="43" t="str">
        <f t="shared" si="47"/>
        <v>*trouble*</v>
      </c>
      <c r="O650" s="43" t="str">
        <v>*book*</v>
      </c>
      <c r="P650" s="43">
        <f t="shared" si="48"/>
        <v>1</v>
      </c>
      <c r="Q650" s="43" t="str">
        <v>*problematic*</v>
      </c>
      <c r="R650" s="43">
        <v>1</v>
      </c>
      <c r="S650" s="43">
        <f t="shared" si="49"/>
        <v>2.95</v>
      </c>
      <c r="T650" s="43">
        <f t="shared" si="50"/>
        <v>1</v>
      </c>
    </row>
    <row r="651" spans="7:20">
      <c r="G651" s="62" cm="1">
        <f t="array" ref="G651">INDEX($D:$D, MATCH(1, (H651 &gt;= $B:$B) * (H651 &lt;= $C:$C), 0))</f>
        <v>13</v>
      </c>
      <c r="H651" s="28">
        <v>46111</v>
      </c>
      <c r="I651" s="29" t="s">
        <v>78</v>
      </c>
      <c r="J651" s="29">
        <v>2</v>
      </c>
      <c r="K651" s="30" t="s">
        <v>396</v>
      </c>
      <c r="M651" s="43" t="str">
        <v>shoot</v>
      </c>
      <c r="N651" s="43" t="str">
        <f t="shared" si="47"/>
        <v>*shoot*</v>
      </c>
      <c r="O651" s="43" t="str">
        <v>*website*</v>
      </c>
      <c r="P651" s="43">
        <f t="shared" si="48"/>
        <v>3</v>
      </c>
      <c r="Q651" s="43" t="str">
        <v>*bamboo*</v>
      </c>
      <c r="R651" s="43">
        <v>1</v>
      </c>
      <c r="S651" s="43">
        <f t="shared" si="49"/>
        <v>2.95</v>
      </c>
      <c r="T651" s="43">
        <f t="shared" si="50"/>
        <v>1</v>
      </c>
    </row>
    <row r="652" spans="7:20">
      <c r="G652" s="62" cm="1">
        <f t="array" ref="G652">INDEX($D:$D, MATCH(1, (H652 &gt;= $B:$B) * (H652 &lt;= $C:$C), 0))</f>
        <v>13</v>
      </c>
      <c r="H652" s="28">
        <v>46111</v>
      </c>
      <c r="I652" s="29" t="s">
        <v>16</v>
      </c>
      <c r="J652" s="29">
        <v>1</v>
      </c>
      <c r="K652" s="30" t="s">
        <v>271</v>
      </c>
      <c r="M652" s="43" t="str">
        <v>Attach</v>
      </c>
      <c r="N652" s="43" t="str">
        <f t="shared" si="47"/>
        <v>*attach*</v>
      </c>
      <c r="O652" s="43" t="str">
        <v>*installer*</v>
      </c>
      <c r="P652" s="43">
        <f t="shared" si="48"/>
        <v>1</v>
      </c>
      <c r="Q652" s="43" t="str">
        <v>*crosshair*</v>
      </c>
      <c r="R652" s="43">
        <v>1</v>
      </c>
      <c r="S652" s="43">
        <f t="shared" si="49"/>
        <v>2.95</v>
      </c>
      <c r="T652" s="43">
        <f t="shared" si="50"/>
        <v>1</v>
      </c>
    </row>
    <row r="653" spans="7:20">
      <c r="G653" s="62" cm="1">
        <f t="array" ref="G653">INDEX($D:$D, MATCH(1, (H653 &gt;= $B:$B) * (H653 &lt;= $C:$C), 0))</f>
        <v>13</v>
      </c>
      <c r="H653" s="28">
        <v>46111</v>
      </c>
      <c r="I653" s="29" t="s">
        <v>34</v>
      </c>
      <c r="J653" s="29">
        <v>1</v>
      </c>
      <c r="K653" s="30" t="s">
        <v>271</v>
      </c>
      <c r="M653" s="43" t="str">
        <v>Peg</v>
      </c>
      <c r="N653" s="43" t="str">
        <f t="shared" si="47"/>
        <v>*peg*</v>
      </c>
      <c r="O653" s="43" t="str">
        <v>*ue5*</v>
      </c>
      <c r="P653" s="43">
        <f t="shared" si="48"/>
        <v>1</v>
      </c>
      <c r="Q653" s="43" t="str">
        <v>*adjustments*</v>
      </c>
      <c r="R653" s="43">
        <v>1</v>
      </c>
      <c r="S653" s="43">
        <f t="shared" si="49"/>
        <v>2.95</v>
      </c>
      <c r="T653" s="43">
        <f t="shared" si="50"/>
        <v>1</v>
      </c>
    </row>
    <row r="654" spans="7:20">
      <c r="G654" s="62" cm="1">
        <f t="array" ref="G654">INDEX($D:$D, MATCH(1, (H654 &gt;= $B:$B) * (H654 &lt;= $C:$C), 0))</f>
        <v>13</v>
      </c>
      <c r="H654" s="28">
        <v>46111</v>
      </c>
      <c r="I654" s="29" t="s">
        <v>78</v>
      </c>
      <c r="J654" s="29">
        <v>1</v>
      </c>
      <c r="K654" s="30" t="s">
        <v>271</v>
      </c>
      <c r="M654" s="43" t="str">
        <v>one</v>
      </c>
      <c r="N654" s="43" t="str">
        <f t="shared" si="47"/>
        <v>*one*</v>
      </c>
      <c r="O654" s="43" t="str">
        <v>*niagara*</v>
      </c>
      <c r="P654" s="43">
        <f t="shared" si="48"/>
        <v>1</v>
      </c>
      <c r="Q654" s="43" t="str">
        <v>*integrate*</v>
      </c>
      <c r="R654" s="43">
        <v>1</v>
      </c>
      <c r="S654" s="43">
        <f t="shared" si="49"/>
        <v>2.95</v>
      </c>
      <c r="T654" s="43">
        <f t="shared" si="50"/>
        <v>1</v>
      </c>
    </row>
    <row r="655" spans="7:20">
      <c r="G655" s="62" cm="1">
        <f t="array" ref="G655">INDEX($D:$D, MATCH(1, (H655 &gt;= $B:$B) * (H655 &lt;= $C:$C), 0))</f>
        <v>13</v>
      </c>
      <c r="H655" s="28">
        <v>46111</v>
      </c>
      <c r="I655" s="29" t="s">
        <v>26</v>
      </c>
      <c r="J655" s="29">
        <v>1</v>
      </c>
      <c r="K655" s="30" t="s">
        <v>271</v>
      </c>
      <c r="M655" s="43" t="str">
        <v>end</v>
      </c>
      <c r="N655" s="43" t="str">
        <f t="shared" si="47"/>
        <v>*end*</v>
      </c>
      <c r="O655" s="43" t="str">
        <v>*firef*</v>
      </c>
      <c r="P655" s="43">
        <f t="shared" si="48"/>
        <v>1</v>
      </c>
      <c r="Q655" s="43" t="str">
        <v>*reworked*</v>
      </c>
      <c r="R655" s="43">
        <v>1</v>
      </c>
      <c r="S655" s="43">
        <f t="shared" si="49"/>
        <v>2.95</v>
      </c>
      <c r="T655" s="43">
        <f t="shared" si="50"/>
        <v>1</v>
      </c>
    </row>
    <row r="656" spans="7:20">
      <c r="G656" s="62" cm="1">
        <f t="array" ref="G656">INDEX($D:$D, MATCH(1, (H656 &gt;= $B:$B) * (H656 &lt;= $C:$C), 0))</f>
        <v>13</v>
      </c>
      <c r="H656" s="28">
        <v>46111</v>
      </c>
      <c r="I656" s="29" t="s">
        <v>28</v>
      </c>
      <c r="J656" s="29">
        <v>1</v>
      </c>
      <c r="K656" s="30" t="s">
        <v>271</v>
      </c>
      <c r="M656" s="43" t="str">
        <v>of</v>
      </c>
      <c r="N656" s="43" t="str">
        <f t="shared" si="47"/>
        <v>*of*</v>
      </c>
      <c r="O656" s="43" t="str">
        <v>*particles*</v>
      </c>
      <c r="P656" s="43">
        <f t="shared" si="48"/>
        <v>2</v>
      </c>
      <c r="Q656" s="43" t="str">
        <v>*2x2*</v>
      </c>
      <c r="R656" s="43">
        <v>1</v>
      </c>
      <c r="S656" s="43">
        <f t="shared" si="49"/>
        <v>2.95</v>
      </c>
      <c r="T656" s="43">
        <f t="shared" si="50"/>
        <v>1</v>
      </c>
    </row>
    <row r="657" spans="7:20">
      <c r="G657" s="62" cm="1">
        <f t="array" ref="G657">INDEX($D:$D, MATCH(1, (H657 &gt;= $B:$B) * (H657 &lt;= $C:$C), 0))</f>
        <v>13</v>
      </c>
      <c r="H657" s="28">
        <v>46111</v>
      </c>
      <c r="I657" s="29" t="s">
        <v>24</v>
      </c>
      <c r="J657" s="29">
        <v>1</v>
      </c>
      <c r="K657" s="30" t="s">
        <v>271</v>
      </c>
      <c r="M657" s="43" t="str">
        <v>rough</v>
      </c>
      <c r="N657" s="43" t="str">
        <f t="shared" si="47"/>
        <v>*rough*</v>
      </c>
      <c r="O657" s="43" t="str">
        <v>*nighttime*</v>
      </c>
      <c r="P657" s="43">
        <f t="shared" si="48"/>
        <v>1</v>
      </c>
      <c r="Q657" s="43" t="str">
        <v>*3x3*</v>
      </c>
      <c r="R657" s="43">
        <v>1</v>
      </c>
      <c r="S657" s="43">
        <f t="shared" si="49"/>
        <v>2.95</v>
      </c>
      <c r="T657" s="43">
        <f t="shared" si="50"/>
        <v>1</v>
      </c>
    </row>
    <row r="658" spans="7:20">
      <c r="G658" s="62" cm="1">
        <f t="array" ref="G658">INDEX($D:$D, MATCH(1, (H658 &gt;= $B:$B) * (H658 &lt;= $C:$C), 0))</f>
        <v>13</v>
      </c>
      <c r="H658" s="28">
        <v>46111</v>
      </c>
      <c r="I658" s="29" t="s">
        <v>16</v>
      </c>
      <c r="J658" s="29">
        <v>4</v>
      </c>
      <c r="K658" s="30" t="s">
        <v>397</v>
      </c>
      <c r="M658" s="43" t="str">
        <v>radial</v>
      </c>
      <c r="N658" s="43" t="str">
        <f t="shared" si="47"/>
        <v>*radial*</v>
      </c>
      <c r="O658" s="43" t="str">
        <v>*varis*</v>
      </c>
      <c r="P658" s="43">
        <f t="shared" si="48"/>
        <v>0</v>
      </c>
      <c r="Q658" s="43" t="str">
        <v>*4x4*</v>
      </c>
      <c r="R658" s="43">
        <v>1</v>
      </c>
      <c r="S658" s="43">
        <f t="shared" si="49"/>
        <v>2.95</v>
      </c>
      <c r="T658" s="43">
        <f t="shared" si="50"/>
        <v>1</v>
      </c>
    </row>
    <row r="659" spans="7:20">
      <c r="G659" s="62" cm="1">
        <f t="array" ref="G659">INDEX($D:$D, MATCH(1, (H659 &gt;= $B:$B) * (H659 &lt;= $C:$C), 0))</f>
        <v>13</v>
      </c>
      <c r="H659" s="28">
        <v>46112</v>
      </c>
      <c r="I659" s="29" t="s">
        <v>78</v>
      </c>
      <c r="J659" s="29">
        <v>1</v>
      </c>
      <c r="K659" s="30" t="s">
        <v>398</v>
      </c>
      <c r="M659" s="43" t="str">
        <v>turn</v>
      </c>
      <c r="N659" s="43" t="str">
        <f t="shared" si="47"/>
        <v>*turn*</v>
      </c>
      <c r="O659" s="43" t="str">
        <v>*colormechanicppv*</v>
      </c>
      <c r="P659" s="43">
        <f t="shared" si="48"/>
        <v>1</v>
      </c>
      <c r="Q659" s="43" t="str">
        <v>*grids*</v>
      </c>
      <c r="R659" s="43">
        <v>1</v>
      </c>
      <c r="S659" s="43">
        <f t="shared" si="49"/>
        <v>2.95</v>
      </c>
      <c r="T659" s="43">
        <f t="shared" si="50"/>
        <v>1</v>
      </c>
    </row>
    <row r="660" spans="7:20">
      <c r="G660" s="62" cm="1">
        <f t="array" ref="G660">INDEX($D:$D, MATCH(1, (H660 &gt;= $B:$B) * (H660 &lt;= $C:$C), 0))</f>
        <v>13</v>
      </c>
      <c r="H660" s="28">
        <v>46113</v>
      </c>
      <c r="I660" s="29" t="s">
        <v>16</v>
      </c>
      <c r="J660" s="29">
        <v>1.5</v>
      </c>
      <c r="K660" s="30" t="s">
        <v>399</v>
      </c>
      <c r="M660" s="43" t="str">
        <v>2nd</v>
      </c>
      <c r="N660" s="43" t="str">
        <f t="shared" si="47"/>
        <v>*2nd*</v>
      </c>
      <c r="O660" s="43" t="str">
        <v>*visibil*</v>
      </c>
      <c r="P660" s="43">
        <f t="shared" si="48"/>
        <v>1</v>
      </c>
      <c r="Q660" s="43" t="str">
        <v>*segmented*</v>
      </c>
      <c r="R660" s="43">
        <v>1</v>
      </c>
      <c r="S660" s="43">
        <f t="shared" si="49"/>
        <v>2.95</v>
      </c>
      <c r="T660" s="43">
        <f t="shared" si="50"/>
        <v>1</v>
      </c>
    </row>
    <row r="661" spans="7:20">
      <c r="G661" s="62" cm="1">
        <f t="array" ref="G661">INDEX($D:$D, MATCH(1, (H661 &gt;= $B:$B) * (H661 &lt;= $C:$C), 0))</f>
        <v>13</v>
      </c>
      <c r="H661" s="28">
        <v>46113</v>
      </c>
      <c r="I661" s="29" t="s">
        <v>78</v>
      </c>
      <c r="J661" s="29">
        <v>1</v>
      </c>
      <c r="K661" s="30" t="s">
        <v>400</v>
      </c>
      <c r="M661" s="43" t="str">
        <v>Percussions</v>
      </c>
      <c r="N661" s="43" t="str">
        <f t="shared" si="47"/>
        <v>*percussions*</v>
      </c>
      <c r="O661" s="43" t="str">
        <v>*gathered*</v>
      </c>
      <c r="P661" s="43">
        <f t="shared" si="48"/>
        <v>1</v>
      </c>
      <c r="Q661" s="43" t="str">
        <v>*images*</v>
      </c>
      <c r="R661" s="43">
        <v>1</v>
      </c>
      <c r="S661" s="43">
        <f t="shared" si="49"/>
        <v>2.95</v>
      </c>
      <c r="T661" s="43">
        <f t="shared" si="50"/>
        <v>1</v>
      </c>
    </row>
    <row r="662" spans="7:20">
      <c r="G662" s="62" cm="1">
        <f t="array" ref="G662">INDEX($D:$D, MATCH(1, (H662 &gt;= $B:$B) * (H662 &lt;= $C:$C), 0))</f>
        <v>13</v>
      </c>
      <c r="H662" s="28">
        <v>46113</v>
      </c>
      <c r="I662" s="29" t="s">
        <v>34</v>
      </c>
      <c r="J662" s="29">
        <v>1</v>
      </c>
      <c r="K662" s="30" t="s">
        <v>400</v>
      </c>
      <c r="M662" s="43" t="str">
        <v>server</v>
      </c>
      <c r="N662" s="43" t="str">
        <f t="shared" si="47"/>
        <v>*server*</v>
      </c>
      <c r="O662" s="43" t="str">
        <v>*shoreline*</v>
      </c>
      <c r="P662" s="43">
        <f t="shared" si="48"/>
        <v>1</v>
      </c>
      <c r="Q662" s="43" t="str">
        <v>*separate*</v>
      </c>
      <c r="R662" s="43">
        <v>1</v>
      </c>
      <c r="S662" s="43">
        <f t="shared" si="49"/>
        <v>2.95</v>
      </c>
      <c r="T662" s="43">
        <f t="shared" si="50"/>
        <v>1</v>
      </c>
    </row>
    <row r="663" spans="7:20">
      <c r="G663" s="62" cm="1">
        <f t="array" ref="G663">INDEX($D:$D, MATCH(1, (H663 &gt;= $B:$B) * (H663 &lt;= $C:$C), 0))</f>
        <v>13</v>
      </c>
      <c r="H663" s="28">
        <v>46113</v>
      </c>
      <c r="I663" s="29" t="s">
        <v>16</v>
      </c>
      <c r="J663" s="29">
        <v>1.5</v>
      </c>
      <c r="K663" s="30" t="s">
        <v>401</v>
      </c>
      <c r="M663" s="43" t="str">
        <v>teleporting</v>
      </c>
      <c r="N663" s="43" t="str">
        <f t="shared" si="47"/>
        <v>*teleport*</v>
      </c>
      <c r="O663" s="43" t="str">
        <v>*beach*</v>
      </c>
      <c r="P663" s="43">
        <f t="shared" si="48"/>
        <v>1</v>
      </c>
      <c r="Q663" s="43" t="str">
        <v>*onto*</v>
      </c>
      <c r="R663" s="43">
        <v>1</v>
      </c>
      <c r="S663" s="43">
        <f t="shared" si="49"/>
        <v>2.95</v>
      </c>
      <c r="T663" s="43">
        <f t="shared" si="50"/>
        <v>1</v>
      </c>
    </row>
    <row r="664" spans="7:20">
      <c r="G664" s="62" cm="1">
        <f t="array" ref="G664">INDEX($D:$D, MATCH(1, (H664 &gt;= $B:$B) * (H664 &lt;= $C:$C), 0))</f>
        <v>13</v>
      </c>
      <c r="H664" s="28">
        <v>46113</v>
      </c>
      <c r="I664" s="29" t="s">
        <v>16</v>
      </c>
      <c r="J664" s="29">
        <v>1</v>
      </c>
      <c r="K664" s="30" t="s">
        <v>402</v>
      </c>
      <c r="M664" s="43" t="str">
        <v>challenges</v>
      </c>
      <c r="N664" s="43" t="str">
        <f t="shared" si="47"/>
        <v>*challenges*</v>
      </c>
      <c r="O664" s="43" t="str">
        <v>*marsh*</v>
      </c>
      <c r="P664" s="43">
        <f t="shared" si="48"/>
        <v>5</v>
      </c>
      <c r="Q664" s="43" t="str">
        <v>*match*</v>
      </c>
      <c r="R664" s="43">
        <v>1</v>
      </c>
      <c r="S664" s="43">
        <f t="shared" si="49"/>
        <v>2.95</v>
      </c>
      <c r="T664" s="43">
        <f t="shared" si="50"/>
        <v>1</v>
      </c>
    </row>
    <row r="665" spans="7:20">
      <c r="G665" s="62" cm="1">
        <f t="array" ref="G665">INDEX($D:$D, MATCH(1, (H665 &gt;= $B:$B) * (H665 &lt;= $C:$C), 0))</f>
        <v>13</v>
      </c>
      <c r="H665" s="28">
        <v>46113</v>
      </c>
      <c r="I665" s="29" t="s">
        <v>16</v>
      </c>
      <c r="J665" s="29">
        <v>2</v>
      </c>
      <c r="K665" s="30" t="s">
        <v>403</v>
      </c>
      <c r="M665" s="43" t="str">
        <v>Feedback</v>
      </c>
      <c r="N665" s="43" t="str">
        <f t="shared" si="47"/>
        <v>*feedback*</v>
      </c>
      <c r="O665" s="43" t="str">
        <v>*fade*</v>
      </c>
      <c r="P665" s="43">
        <f t="shared" si="48"/>
        <v>1</v>
      </c>
      <c r="Q665" s="43" t="str">
        <v>*symbols*</v>
      </c>
      <c r="R665" s="43">
        <v>1</v>
      </c>
      <c r="S665" s="43">
        <f t="shared" si="49"/>
        <v>2.95</v>
      </c>
      <c r="T665" s="43">
        <f t="shared" si="50"/>
        <v>1</v>
      </c>
    </row>
    <row r="666" spans="7:20">
      <c r="G666" s="62" cm="1">
        <f t="array" ref="G666">INDEX($D:$D, MATCH(1, (H666 &gt;= $B:$B) * (H666 &lt;= $C:$C), 0))</f>
        <v>13</v>
      </c>
      <c r="H666" s="28">
        <v>46114</v>
      </c>
      <c r="I666" s="29" t="s">
        <v>28</v>
      </c>
      <c r="J666" s="29">
        <v>3.5</v>
      </c>
      <c r="K666" s="30" t="s">
        <v>404</v>
      </c>
      <c r="M666" s="43" t="str">
        <v>Analysis</v>
      </c>
      <c r="N666" s="43" t="str">
        <f t="shared" si="47"/>
        <v>*analysis*</v>
      </c>
      <c r="O666" s="43" t="str">
        <v>*black*</v>
      </c>
      <c r="P666" s="43">
        <f t="shared" si="48"/>
        <v>1</v>
      </c>
      <c r="Q666" s="43" t="str">
        <v>*nearby*</v>
      </c>
      <c r="R666" s="43">
        <v>1</v>
      </c>
      <c r="S666" s="43">
        <f t="shared" si="49"/>
        <v>2.95</v>
      </c>
      <c r="T666" s="43">
        <f t="shared" si="50"/>
        <v>1</v>
      </c>
    </row>
    <row r="667" spans="7:20">
      <c r="G667" s="62" cm="1">
        <f t="array" ref="G667">INDEX($D:$D, MATCH(1, (H667 &gt;= $B:$B) * (H667 &lt;= $C:$C), 0))</f>
        <v>13</v>
      </c>
      <c r="H667" s="28">
        <v>46114</v>
      </c>
      <c r="I667" s="29" t="s">
        <v>16</v>
      </c>
      <c r="J667" s="29">
        <v>1</v>
      </c>
      <c r="K667" s="30" t="s">
        <v>405</v>
      </c>
      <c r="M667" s="43" t="str">
        <v>RTM</v>
      </c>
      <c r="N667" s="43" t="str">
        <f t="shared" si="47"/>
        <v>*rtm*</v>
      </c>
      <c r="O667" s="43" t="str">
        <v>*func*</v>
      </c>
      <c r="P667" s="43">
        <f t="shared" si="48"/>
        <v>4</v>
      </c>
      <c r="Q667" s="43" t="str">
        <v>*vary*</v>
      </c>
      <c r="R667" s="43">
        <v>1</v>
      </c>
      <c r="S667" s="43">
        <f t="shared" si="49"/>
        <v>2.95</v>
      </c>
      <c r="T667" s="43">
        <f t="shared" si="50"/>
        <v>1</v>
      </c>
    </row>
    <row r="668" spans="7:20">
      <c r="G668" s="62" cm="1">
        <f t="array" ref="G668">INDEX($D:$D, MATCH(1, (H668 &gt;= $B:$B) * (H668 &lt;= $C:$C), 0))</f>
        <v>13</v>
      </c>
      <c r="H668" s="28">
        <v>46115</v>
      </c>
      <c r="I668" s="29" t="s">
        <v>78</v>
      </c>
      <c r="J668" s="29">
        <v>0.5</v>
      </c>
      <c r="K668" s="30" t="s">
        <v>406</v>
      </c>
      <c r="M668" s="43" t="str">
        <v>portion</v>
      </c>
      <c r="N668" s="43" t="str">
        <f t="shared" si="47"/>
        <v>*por*</v>
      </c>
      <c r="O668" s="43" t="str">
        <v>*improve*</v>
      </c>
      <c r="P668" s="43">
        <f t="shared" si="48"/>
        <v>3</v>
      </c>
      <c r="Q668" s="43" t="str">
        <v>*lengths*</v>
      </c>
      <c r="R668" s="43">
        <v>1</v>
      </c>
      <c r="S668" s="43">
        <f t="shared" si="49"/>
        <v>2.95</v>
      </c>
      <c r="T668" s="43">
        <f t="shared" si="50"/>
        <v>1</v>
      </c>
    </row>
    <row r="669" spans="7:20">
      <c r="G669" s="62" cm="1">
        <f t="array" ref="G669">INDEX($D:$D, MATCH(1, (H669 &gt;= $B:$B) * (H669 &lt;= $C:$C), 0))</f>
        <v>13</v>
      </c>
      <c r="H669" s="28">
        <v>46115</v>
      </c>
      <c r="I669" s="29" t="s">
        <v>16</v>
      </c>
      <c r="J669" s="29">
        <v>1.5</v>
      </c>
      <c r="K669" s="30" t="s">
        <v>405</v>
      </c>
      <c r="M669" s="43" t="str">
        <v>Resculpting</v>
      </c>
      <c r="N669" s="43" t="str">
        <f t="shared" si="47"/>
        <v>*resculpt*</v>
      </c>
      <c r="O669" s="43" t="str">
        <v>*visuals*</v>
      </c>
      <c r="P669" s="43">
        <f t="shared" si="48"/>
        <v>1</v>
      </c>
      <c r="Q669" s="43" t="str">
        <v>*placement*</v>
      </c>
      <c r="R669" s="43">
        <v>1</v>
      </c>
      <c r="S669" s="43">
        <f t="shared" si="49"/>
        <v>2.95</v>
      </c>
      <c r="T669" s="43">
        <f t="shared" si="50"/>
        <v>1</v>
      </c>
    </row>
    <row r="670" spans="7:20" ht="30">
      <c r="G670" s="62" cm="1">
        <f t="array" ref="G670">INDEX($D:$D, MATCH(1, (H670 &gt;= $B:$B) * (H670 &lt;= $C:$C), 0))</f>
        <v>13</v>
      </c>
      <c r="H670" s="28">
        <v>46116</v>
      </c>
      <c r="I670" s="29" t="s">
        <v>24</v>
      </c>
      <c r="J670" s="29">
        <v>1</v>
      </c>
      <c r="K670" s="30" t="s">
        <v>407</v>
      </c>
      <c r="M670" s="43" t="str">
        <v>key</v>
      </c>
      <c r="N670" s="43" t="str">
        <f t="shared" si="47"/>
        <v>*key*</v>
      </c>
      <c r="O670" s="43" t="str">
        <v>*small*</v>
      </c>
      <c r="P670" s="43">
        <f t="shared" si="48"/>
        <v>4</v>
      </c>
      <c r="Q670" s="43" t="str">
        <v>*attach*</v>
      </c>
      <c r="R670" s="43">
        <v>1</v>
      </c>
      <c r="S670" s="43">
        <f t="shared" si="49"/>
        <v>2.95</v>
      </c>
      <c r="T670" s="43">
        <f t="shared" si="50"/>
        <v>1</v>
      </c>
    </row>
    <row r="671" spans="7:20" ht="30">
      <c r="G671" s="62" cm="1">
        <f t="array" ref="G671">INDEX($D:$D, MATCH(1, (H671 &gt;= $B:$B) * (H671 &lt;= $C:$C), 0))</f>
        <v>13</v>
      </c>
      <c r="H671" s="28">
        <v>46117</v>
      </c>
      <c r="I671" s="29" t="s">
        <v>78</v>
      </c>
      <c r="J671" s="29">
        <v>2</v>
      </c>
      <c r="K671" s="30" t="s">
        <v>408</v>
      </c>
      <c r="M671" s="43" t="str">
        <v>elements</v>
      </c>
      <c r="N671" s="43" t="str">
        <f t="shared" si="47"/>
        <v>*elements*</v>
      </c>
      <c r="O671" s="43" t="str">
        <v>*cleanups*</v>
      </c>
      <c r="P671" s="43">
        <f t="shared" si="48"/>
        <v>1</v>
      </c>
      <c r="Q671" s="43" t="str">
        <v>*radial*</v>
      </c>
      <c r="R671" s="43">
        <v>1</v>
      </c>
      <c r="S671" s="43">
        <f t="shared" si="49"/>
        <v>2.95</v>
      </c>
      <c r="T671" s="43">
        <f t="shared" si="50"/>
        <v>1</v>
      </c>
    </row>
    <row r="672" spans="7:20">
      <c r="G672" s="62" cm="1">
        <f t="array" ref="G672">INDEX($D:$D, MATCH(1, (H672 &gt;= $B:$B) * (H672 &lt;= $C:$C), 0))</f>
        <v>13</v>
      </c>
      <c r="H672" s="28">
        <v>46117</v>
      </c>
      <c r="I672" s="29" t="s">
        <v>78</v>
      </c>
      <c r="J672" s="29">
        <v>2</v>
      </c>
      <c r="K672" s="30" t="s">
        <v>409</v>
      </c>
      <c r="M672" s="43" t="str">
        <v>Steven</v>
      </c>
      <c r="N672" s="43" t="str">
        <f t="shared" si="47"/>
        <v>*steven*</v>
      </c>
      <c r="O672" s="43" t="str">
        <v>*cool*</v>
      </c>
      <c r="P672" s="43">
        <f t="shared" si="48"/>
        <v>1</v>
      </c>
      <c r="Q672" s="43" t="str">
        <v>*turn*</v>
      </c>
      <c r="R672" s="43">
        <v>1</v>
      </c>
      <c r="S672" s="43">
        <f t="shared" si="49"/>
        <v>2.95</v>
      </c>
      <c r="T672" s="43">
        <f t="shared" si="50"/>
        <v>1</v>
      </c>
    </row>
    <row r="673" spans="7:20">
      <c r="G673" s="62" cm="1">
        <f t="array" ref="G673">INDEX($D:$D, MATCH(1, (H673 &gt;= $B:$B) * (H673 &lt;= $C:$C), 0))</f>
        <v>13</v>
      </c>
      <c r="H673" s="28">
        <v>46117</v>
      </c>
      <c r="I673" s="29" t="s">
        <v>34</v>
      </c>
      <c r="J673" s="29">
        <v>1</v>
      </c>
      <c r="K673" s="30" t="s">
        <v>410</v>
      </c>
      <c r="M673" s="43" t="str">
        <v>talk</v>
      </c>
      <c r="N673" s="43" t="str">
        <f t="shared" si="47"/>
        <v>*talk*</v>
      </c>
      <c r="O673" s="43" t="str">
        <v>*central*</v>
      </c>
      <c r="P673" s="43">
        <f t="shared" si="48"/>
        <v>1</v>
      </c>
      <c r="Q673" s="43" t="str">
        <v>*2nd*</v>
      </c>
      <c r="R673" s="43">
        <v>1</v>
      </c>
      <c r="S673" s="43">
        <f t="shared" si="49"/>
        <v>2.95</v>
      </c>
      <c r="T673" s="43">
        <f t="shared" si="50"/>
        <v>1</v>
      </c>
    </row>
    <row r="674" spans="7:20" ht="30">
      <c r="G674" s="62" cm="1">
        <f t="array" ref="G674">INDEX($D:$D, MATCH(1, (H674 &gt;= $B:$B) * (H674 &lt;= $C:$C), 0))</f>
        <v>13</v>
      </c>
      <c r="H674" s="28">
        <v>46117</v>
      </c>
      <c r="I674" s="29" t="s">
        <v>34</v>
      </c>
      <c r="J674" s="29">
        <v>4</v>
      </c>
      <c r="K674" s="30" t="s">
        <v>411</v>
      </c>
      <c r="M674" s="43" t="str">
        <v>condition</v>
      </c>
      <c r="N674" s="43" t="str">
        <f t="shared" si="47"/>
        <v>*condi*</v>
      </c>
      <c r="O674" s="43" t="str">
        <v>*temple*</v>
      </c>
      <c r="P674" s="43">
        <f t="shared" si="48"/>
        <v>1</v>
      </c>
      <c r="Q674" s="43" t="str">
        <v>*percussions*</v>
      </c>
      <c r="R674" s="43">
        <v>1</v>
      </c>
      <c r="S674" s="43">
        <f t="shared" si="49"/>
        <v>2.95</v>
      </c>
      <c r="T674" s="43">
        <f t="shared" si="50"/>
        <v>1</v>
      </c>
    </row>
    <row r="675" spans="7:20">
      <c r="G675" s="62" cm="1">
        <f t="array" ref="G675">INDEX($D:$D, MATCH(1, (H675 &gt;= $B:$B) * (H675 &lt;= $C:$C), 0))</f>
        <v>13</v>
      </c>
      <c r="H675" s="28">
        <v>46117</v>
      </c>
      <c r="I675" s="29" t="s">
        <v>16</v>
      </c>
      <c r="J675" s="29">
        <v>1</v>
      </c>
      <c r="K675" s="30" t="s">
        <v>405</v>
      </c>
      <c r="M675" s="43" t="str">
        <v>symbol</v>
      </c>
      <c r="N675" s="43" t="str">
        <f t="shared" si="47"/>
        <v>*symbol*</v>
      </c>
      <c r="O675" s="43" t="str">
        <v>*improvements*</v>
      </c>
      <c r="P675" s="43">
        <f t="shared" si="48"/>
        <v>1</v>
      </c>
      <c r="Q675" s="43" t="str">
        <v>*server*</v>
      </c>
      <c r="R675" s="43">
        <v>1</v>
      </c>
      <c r="S675" s="43">
        <f t="shared" si="49"/>
        <v>2.95</v>
      </c>
      <c r="T675" s="43">
        <f t="shared" si="50"/>
        <v>1</v>
      </c>
    </row>
    <row r="676" spans="7:20">
      <c r="G676" s="62" cm="1">
        <f t="array" ref="G676">INDEX($D:$D, MATCH(1, (H676 &gt;= $B:$B) * (H676 &lt;= $C:$C), 0))</f>
        <v>13</v>
      </c>
      <c r="H676" s="28">
        <v>46118</v>
      </c>
      <c r="I676" s="29" t="s">
        <v>34</v>
      </c>
      <c r="J676" s="29">
        <v>0.5</v>
      </c>
      <c r="K676" s="30" t="s">
        <v>412</v>
      </c>
      <c r="M676" s="43" t="str">
        <v>lighting</v>
      </c>
      <c r="N676" s="43" t="str">
        <f t="shared" si="47"/>
        <v>*light*</v>
      </c>
      <c r="O676" s="43" t="str">
        <v>*webbed*</v>
      </c>
      <c r="P676" s="43">
        <f t="shared" si="48"/>
        <v>1</v>
      </c>
      <c r="Q676" s="43" t="str">
        <v>*resculpt*</v>
      </c>
      <c r="R676" s="43">
        <v>1</v>
      </c>
      <c r="S676" s="43">
        <f t="shared" si="49"/>
        <v>2.95</v>
      </c>
      <c r="T676" s="43">
        <f t="shared" si="50"/>
        <v>1</v>
      </c>
    </row>
    <row r="677" spans="7:20">
      <c r="G677" s="62" cm="1">
        <f t="array" ref="G677">INDEX($D:$D, MATCH(1, (H677 &gt;= $B:$B) * (H677 &lt;= $C:$C), 0))</f>
        <v>13</v>
      </c>
      <c r="H677" s="28">
        <v>46118</v>
      </c>
      <c r="I677" s="29" t="s">
        <v>26</v>
      </c>
      <c r="J677" s="29">
        <v>2.5</v>
      </c>
      <c r="K677" s="30" t="s">
        <v>413</v>
      </c>
      <c r="M677" s="43" t="str">
        <v>completion,</v>
      </c>
      <c r="N677" s="43" t="str">
        <f t="shared" si="47"/>
        <v>*comple*</v>
      </c>
      <c r="O677" s="43" t="str">
        <v>*site*</v>
      </c>
      <c r="P677" s="43">
        <f t="shared" si="48"/>
        <v>4</v>
      </c>
      <c r="Q677" s="43" t="str">
        <v>*elements*</v>
      </c>
      <c r="R677" s="43">
        <v>1</v>
      </c>
      <c r="S677" s="43">
        <f t="shared" si="49"/>
        <v>2.95</v>
      </c>
      <c r="T677" s="43">
        <f t="shared" si="50"/>
        <v>1</v>
      </c>
    </row>
    <row r="678" spans="7:20">
      <c r="G678" s="62" cm="1">
        <f t="array" ref="G678">INDEX($D:$D, MATCH(1, (H678 &gt;= $B:$B) * (H678 &lt;= $C:$C), 0))</f>
        <v>13</v>
      </c>
      <c r="H678" s="28">
        <v>46118</v>
      </c>
      <c r="I678" s="29" t="s">
        <v>28</v>
      </c>
      <c r="J678" s="29">
        <v>0.5</v>
      </c>
      <c r="K678" s="30" t="s">
        <v>414</v>
      </c>
      <c r="M678" s="43" t="str">
        <v>filled</v>
      </c>
      <c r="N678" s="43" t="str">
        <f t="shared" si="47"/>
        <v>*filled*</v>
      </c>
      <c r="O678" s="43" t="str">
        <v>*allow*</v>
      </c>
      <c r="P678" s="43">
        <f t="shared" si="48"/>
        <v>1</v>
      </c>
      <c r="Q678" s="43" t="str">
        <v>*condi*</v>
      </c>
      <c r="R678" s="43">
        <v>1</v>
      </c>
      <c r="S678" s="43">
        <f t="shared" si="49"/>
        <v>2.95</v>
      </c>
      <c r="T678" s="43">
        <f t="shared" si="50"/>
        <v>1</v>
      </c>
    </row>
    <row r="679" spans="7:20" ht="30">
      <c r="G679" s="62" cm="1">
        <f t="array" ref="G679">INDEX($D:$D, MATCH(1, (H679 &gt;= $B:$B) * (H679 &lt;= $C:$C), 0))</f>
        <v>13</v>
      </c>
      <c r="H679" s="28">
        <v>46118</v>
      </c>
      <c r="I679" s="29" t="s">
        <v>16</v>
      </c>
      <c r="J679" s="29">
        <v>4</v>
      </c>
      <c r="K679" s="30" t="s">
        <v>415</v>
      </c>
      <c r="M679" s="43" t="str">
        <v>Registering</v>
      </c>
      <c r="N679" s="43" t="str">
        <f t="shared" si="47"/>
        <v>*register*</v>
      </c>
      <c r="O679" s="43" t="str">
        <v>*required*</v>
      </c>
      <c r="P679" s="43">
        <f t="shared" si="48"/>
        <v>1</v>
      </c>
      <c r="Q679" s="43" t="str">
        <v>*register*</v>
      </c>
      <c r="R679" s="43">
        <v>1</v>
      </c>
      <c r="S679" s="43">
        <f t="shared" si="49"/>
        <v>2.95</v>
      </c>
      <c r="T679" s="43">
        <f t="shared" si="50"/>
        <v>1</v>
      </c>
    </row>
    <row r="680" spans="7:20">
      <c r="G680" s="62" cm="1">
        <f t="array" ref="G680">INDEX($D:$D, MATCH(1, (H680 &gt;= $B:$B) * (H680 &lt;= $C:$C), 0))</f>
        <v>13</v>
      </c>
      <c r="H680" s="28">
        <v>46118</v>
      </c>
      <c r="I680" s="29" t="s">
        <v>78</v>
      </c>
      <c r="J680" s="29">
        <v>1.5</v>
      </c>
      <c r="K680" s="30" t="s">
        <v>271</v>
      </c>
      <c r="M680" s="43" t="str">
        <v>ETCS</v>
      </c>
      <c r="N680" s="43" t="str">
        <f t="shared" si="47"/>
        <v>*etcs*</v>
      </c>
      <c r="O680" s="43" t="str">
        <v>*number*</v>
      </c>
      <c r="P680" s="43">
        <f t="shared" si="48"/>
        <v>1</v>
      </c>
      <c r="Q680" s="43" t="str">
        <v>*etcs*</v>
      </c>
      <c r="R680" s="43">
        <v>1</v>
      </c>
      <c r="S680" s="43">
        <f t="shared" si="49"/>
        <v>2.95</v>
      </c>
      <c r="T680" s="43">
        <f t="shared" si="50"/>
        <v>1</v>
      </c>
    </row>
    <row r="681" spans="7:20">
      <c r="G681" s="62" cm="1">
        <f t="array" ref="G681">INDEX($D:$D, MATCH(1, (H681 &gt;= $B:$B) * (H681 &lt;= $C:$C), 0))</f>
        <v>13</v>
      </c>
      <c r="H681" s="28">
        <v>46118</v>
      </c>
      <c r="I681" s="10" t="s">
        <v>34</v>
      </c>
      <c r="J681" s="29">
        <v>1.5</v>
      </c>
      <c r="K681" s="30" t="s">
        <v>271</v>
      </c>
      <c r="M681" s="43" t="str">
        <v>Innovation</v>
      </c>
      <c r="N681" s="43" t="str">
        <f t="shared" si="47"/>
        <v>*innova*</v>
      </c>
      <c r="O681" s="43" t="str">
        <v>*collected*</v>
      </c>
      <c r="P681" s="43">
        <f t="shared" si="48"/>
        <v>1</v>
      </c>
      <c r="Q681" s="43" t="str">
        <v>*revis*</v>
      </c>
      <c r="R681" s="43">
        <v>1</v>
      </c>
      <c r="S681" s="43">
        <f t="shared" si="49"/>
        <v>2.95</v>
      </c>
      <c r="T681" s="43">
        <f t="shared" si="50"/>
        <v>1</v>
      </c>
    </row>
    <row r="682" spans="7:20">
      <c r="G682" s="62" cm="1">
        <f t="array" ref="G682">INDEX($D:$D, MATCH(1, (H682 &gt;= $B:$B) * (H682 &lt;= $C:$C), 0))</f>
        <v>13</v>
      </c>
      <c r="H682" s="28">
        <v>46118</v>
      </c>
      <c r="I682" s="10" t="s">
        <v>28</v>
      </c>
      <c r="J682" s="29">
        <v>1.5</v>
      </c>
      <c r="K682" s="30" t="s">
        <v>271</v>
      </c>
      <c r="M682" s="43" t="str">
        <v>Day</v>
      </c>
      <c r="N682" s="43" t="str">
        <f t="shared" si="47"/>
        <v>*day*</v>
      </c>
      <c r="O682" s="43" t="str">
        <v>*view*</v>
      </c>
      <c r="P682" s="43">
        <f t="shared" si="48"/>
        <v>5</v>
      </c>
      <c r="Q682" s="43" t="str">
        <v>*calculate*</v>
      </c>
      <c r="R682" s="43">
        <v>1</v>
      </c>
      <c r="S682" s="43">
        <f t="shared" si="49"/>
        <v>2.95</v>
      </c>
      <c r="T682" s="43">
        <f t="shared" si="50"/>
        <v>1</v>
      </c>
    </row>
    <row r="683" spans="7:20">
      <c r="G683" s="62" cm="1">
        <f t="array" ref="G683">INDEX($D:$D, MATCH(1, (H683 &gt;= $B:$B) * (H683 &lt;= $C:$C), 0))</f>
        <v>13</v>
      </c>
      <c r="H683" s="28">
        <v>46118</v>
      </c>
      <c r="I683" s="10" t="s">
        <v>26</v>
      </c>
      <c r="J683" s="29">
        <v>1.5</v>
      </c>
      <c r="K683" s="30" t="s">
        <v>271</v>
      </c>
      <c r="M683" s="43" t="str">
        <v>Revising</v>
      </c>
      <c r="N683" s="43" t="str">
        <f t="shared" si="47"/>
        <v>*revis*</v>
      </c>
      <c r="O683" s="43" t="str">
        <v>*race*</v>
      </c>
      <c r="P683" s="43">
        <f t="shared" si="48"/>
        <v>2</v>
      </c>
      <c r="Q683" s="43" t="str">
        <v>*distance*</v>
      </c>
      <c r="R683" s="43">
        <v>1</v>
      </c>
      <c r="S683" s="43">
        <f t="shared" si="49"/>
        <v>2.95</v>
      </c>
      <c r="T683" s="43">
        <f t="shared" si="50"/>
        <v>1</v>
      </c>
    </row>
    <row r="684" spans="7:20">
      <c r="G684" s="62" cm="1">
        <f t="array" ref="G684">INDEX($D:$D, MATCH(1, (H684 &gt;= $B:$B) * (H684 &lt;= $C:$C), 0))</f>
        <v>13</v>
      </c>
      <c r="H684" s="28">
        <v>46118</v>
      </c>
      <c r="I684" s="29" t="s">
        <v>24</v>
      </c>
      <c r="J684" s="29">
        <v>1.5</v>
      </c>
      <c r="K684" s="30" t="s">
        <v>271</v>
      </c>
      <c r="M684" s="43" t="str">
        <v>bridges,</v>
      </c>
      <c r="N684" s="43" t="str">
        <f t="shared" si="47"/>
        <v>*bridges*</v>
      </c>
      <c r="O684" s="43" t="str">
        <v>*write*</v>
      </c>
      <c r="P684" s="43">
        <f t="shared" si="48"/>
        <v>1</v>
      </c>
      <c r="Q684" s="43" t="str">
        <v>*spin*</v>
      </c>
      <c r="R684" s="43">
        <v>1</v>
      </c>
      <c r="S684" s="43">
        <f t="shared" si="49"/>
        <v>2.95</v>
      </c>
      <c r="T684" s="43">
        <f t="shared" si="50"/>
        <v>1</v>
      </c>
    </row>
    <row r="685" spans="7:20">
      <c r="G685" s="62" cm="1">
        <f t="array" ref="G685">INDEX($D:$D, MATCH(1, (H685 &gt;= $B:$B) * (H685 &lt;= $C:$C), 0))</f>
        <v>13</v>
      </c>
      <c r="H685" s="28">
        <v>46118</v>
      </c>
      <c r="I685" s="29" t="s">
        <v>16</v>
      </c>
      <c r="J685" s="29">
        <v>1.5</v>
      </c>
      <c r="K685" s="30" t="s">
        <v>271</v>
      </c>
      <c r="M685" s="43" t="str">
        <v>mountain</v>
      </c>
      <c r="N685" s="43" t="str">
        <f t="shared" si="47"/>
        <v>*mountain*</v>
      </c>
      <c r="O685" s="43" t="str">
        <v>*types*</v>
      </c>
      <c r="P685" s="43">
        <f t="shared" si="48"/>
        <v>1</v>
      </c>
      <c r="Q685" s="43" t="str">
        <v>*bounce*</v>
      </c>
      <c r="R685" s="43">
        <v>1</v>
      </c>
      <c r="S685" s="43">
        <f t="shared" si="49"/>
        <v>2.95</v>
      </c>
      <c r="T685" s="43">
        <f t="shared" si="50"/>
        <v>1</v>
      </c>
    </row>
    <row r="686" spans="7:20" ht="45">
      <c r="G686" s="62" cm="1">
        <f t="array" ref="G686">INDEX($D:$D, MATCH(1, (H686 &gt;= $B:$B) * (H686 &lt;= $C:$C), 0))</f>
        <v>13</v>
      </c>
      <c r="H686" s="28">
        <v>46119</v>
      </c>
      <c r="I686" s="29" t="s">
        <v>78</v>
      </c>
      <c r="J686" s="29">
        <v>2</v>
      </c>
      <c r="K686" s="30" t="s">
        <v>416</v>
      </c>
      <c r="M686" s="43" t="str">
        <v>Saving</v>
      </c>
      <c r="N686" s="43" t="str">
        <f t="shared" si="47"/>
        <v>*sav*</v>
      </c>
      <c r="O686" s="43" t="str">
        <v>*completed*</v>
      </c>
      <c r="P686" s="43">
        <f t="shared" si="48"/>
        <v>2</v>
      </c>
      <c r="Q686" s="43" t="str">
        <v>*speed*</v>
      </c>
      <c r="R686" s="43">
        <v>1</v>
      </c>
      <c r="S686" s="43">
        <f t="shared" si="49"/>
        <v>2.95</v>
      </c>
      <c r="T686" s="43">
        <f t="shared" si="50"/>
        <v>1</v>
      </c>
    </row>
    <row r="687" spans="7:20" ht="30">
      <c r="G687" s="62" cm="1">
        <f t="array" ref="G687">INDEX($D:$D, MATCH(1, (H687 &gt;= $B:$B) * (H687 &lt;= $C:$C), 0))</f>
        <v>14</v>
      </c>
      <c r="H687" s="28">
        <v>46120</v>
      </c>
      <c r="I687" s="29" t="s">
        <v>78</v>
      </c>
      <c r="J687" s="29">
        <v>3</v>
      </c>
      <c r="K687" s="30" t="s">
        <v>417</v>
      </c>
      <c r="M687" s="43" t="str">
        <v>edits</v>
      </c>
      <c r="N687" s="43" t="str">
        <f t="shared" si="47"/>
        <v>*edits*</v>
      </c>
      <c r="O687" s="43" t="str">
        <v>*effort*</v>
      </c>
      <c r="P687" s="43">
        <f t="shared" si="48"/>
        <v>1</v>
      </c>
      <c r="Q687" s="43" t="str">
        <v>*jingle*</v>
      </c>
      <c r="R687" s="43">
        <v>1</v>
      </c>
      <c r="S687" s="43">
        <f t="shared" si="49"/>
        <v>2.95</v>
      </c>
      <c r="T687" s="43">
        <f t="shared" si="50"/>
        <v>1</v>
      </c>
    </row>
    <row r="688" spans="7:20">
      <c r="G688" s="62" cm="1">
        <f t="array" ref="G688">INDEX($D:$D, MATCH(1, (H688 &gt;= $B:$B) * (H688 &lt;= $C:$C), 0))</f>
        <v>14</v>
      </c>
      <c r="H688" s="28">
        <v>46120</v>
      </c>
      <c r="I688" s="29" t="s">
        <v>16</v>
      </c>
      <c r="J688" s="29">
        <v>2</v>
      </c>
      <c r="K688" s="30" t="s">
        <v>274</v>
      </c>
      <c r="M688" s="43" t="str">
        <v>packaging</v>
      </c>
      <c r="N688" s="43" t="str">
        <f t="shared" si="47"/>
        <v>*packag*</v>
      </c>
      <c r="O688" s="43" t="str">
        <v>*food*</v>
      </c>
      <c r="P688" s="43">
        <f t="shared" si="48"/>
        <v>1</v>
      </c>
      <c r="Q688" s="43" t="str">
        <v>*obstacle*</v>
      </c>
      <c r="R688" s="43">
        <v>1</v>
      </c>
      <c r="S688" s="43">
        <f t="shared" si="49"/>
        <v>2.95</v>
      </c>
      <c r="T688" s="43">
        <f t="shared" si="50"/>
        <v>1</v>
      </c>
    </row>
    <row r="689" spans="7:20">
      <c r="G689" s="62" cm="1">
        <f t="array" ref="G689">INDEX($D:$D, MATCH(1, (H689 &gt;= $B:$B) * (H689 &lt;= $C:$C), 0))</f>
        <v>14</v>
      </c>
      <c r="H689" s="28">
        <v>46120</v>
      </c>
      <c r="I689" s="29" t="s">
        <v>24</v>
      </c>
      <c r="J689" s="29">
        <v>2</v>
      </c>
      <c r="K689" s="30" t="s">
        <v>274</v>
      </c>
      <c r="M689" s="43" t="str">
        <v>interface</v>
      </c>
      <c r="N689" s="43" t="str">
        <f t="shared" si="47"/>
        <v>*interface*</v>
      </c>
      <c r="O689" s="43" t="str">
        <v>*poster*</v>
      </c>
      <c r="P689" s="43">
        <f t="shared" si="48"/>
        <v>7</v>
      </c>
      <c r="Q689" s="43" t="str">
        <v>*exe*</v>
      </c>
      <c r="R689" s="43">
        <v>1</v>
      </c>
      <c r="S689" s="43">
        <f t="shared" si="49"/>
        <v>2.95</v>
      </c>
      <c r="T689" s="43">
        <f t="shared" si="50"/>
        <v>1</v>
      </c>
    </row>
    <row r="690" spans="7:20">
      <c r="G690" s="62" cm="1">
        <f t="array" ref="G690">INDEX($D:$D, MATCH(1, (H690 &gt;= $B:$B) * (H690 &lt;= $C:$C), 0))</f>
        <v>14</v>
      </c>
      <c r="H690" s="28">
        <v>46120</v>
      </c>
      <c r="I690" s="29" t="s">
        <v>34</v>
      </c>
      <c r="J690" s="29">
        <v>1</v>
      </c>
      <c r="K690" s="30" t="s">
        <v>229</v>
      </c>
      <c r="M690" s="43" t="str">
        <v>puzzles</v>
      </c>
      <c r="N690" s="43" t="str">
        <f t="shared" si="47"/>
        <v>*puzzles*</v>
      </c>
      <c r="O690" s="43" t="str">
        <v>*come*</v>
      </c>
      <c r="P690" s="43">
        <f t="shared" si="48"/>
        <v>2</v>
      </c>
      <c r="Q690" s="43" t="str">
        <v>*further*</v>
      </c>
      <c r="R690" s="43">
        <v>1</v>
      </c>
      <c r="S690" s="43">
        <f t="shared" si="49"/>
        <v>2.95</v>
      </c>
      <c r="T690" s="43">
        <f t="shared" si="50"/>
        <v>1</v>
      </c>
    </row>
    <row r="691" spans="7:20">
      <c r="G691" s="62" cm="1">
        <f t="array" ref="G691">INDEX($D:$D, MATCH(1, (H691 &gt;= $B:$B) * (H691 &lt;= $C:$C), 0))</f>
        <v>14</v>
      </c>
      <c r="H691" s="28">
        <v>46120</v>
      </c>
      <c r="I691" s="29" t="s">
        <v>34</v>
      </c>
      <c r="J691" s="29">
        <v>2</v>
      </c>
      <c r="K691" s="30" t="s">
        <v>418</v>
      </c>
      <c r="M691" s="43" t="str">
        <v>2</v>
      </c>
      <c r="N691" s="43" t="str">
        <f t="shared" si="47"/>
        <v>*2*</v>
      </c>
      <c r="O691" s="43" t="str">
        <v>*4*</v>
      </c>
      <c r="P691" s="43">
        <f t="shared" si="48"/>
        <v>3</v>
      </c>
      <c r="Q691" s="43" t="str">
        <v>*caves*</v>
      </c>
      <c r="R691" s="43">
        <v>1</v>
      </c>
      <c r="S691" s="43">
        <f t="shared" si="49"/>
        <v>2.95</v>
      </c>
      <c r="T691" s="43">
        <f t="shared" si="50"/>
        <v>1</v>
      </c>
    </row>
    <row r="692" spans="7:20">
      <c r="G692" s="62" cm="1">
        <f t="array" ref="G692">INDEX($D:$D, MATCH(1, (H692 &gt;= $B:$B) * (H692 &lt;= $C:$C), 0))</f>
        <v>14</v>
      </c>
      <c r="H692" s="28">
        <v>46120</v>
      </c>
      <c r="I692" s="29" t="s">
        <v>26</v>
      </c>
      <c r="J692" s="29">
        <v>1</v>
      </c>
      <c r="K692" s="30" t="s">
        <v>229</v>
      </c>
      <c r="M692" s="43" t="str">
        <v>Calculate</v>
      </c>
      <c r="N692" s="43" t="str">
        <f t="shared" si="47"/>
        <v>*calculate*</v>
      </c>
      <c r="O692" s="43" t="str">
        <v>*tester*</v>
      </c>
      <c r="P692" s="43">
        <f t="shared" si="48"/>
        <v>1</v>
      </c>
      <c r="Q692" s="43" t="str">
        <v>*wait*</v>
      </c>
      <c r="R692" s="43">
        <v>1</v>
      </c>
      <c r="S692" s="43">
        <f t="shared" si="49"/>
        <v>2.95</v>
      </c>
      <c r="T692" s="43">
        <f t="shared" si="50"/>
        <v>1</v>
      </c>
    </row>
    <row r="693" spans="7:20">
      <c r="G693" s="62" cm="1">
        <f t="array" ref="G693">INDEX($D:$D, MATCH(1, (H693 &gt;= $B:$B) * (H693 &lt;= $C:$C), 0))</f>
        <v>14</v>
      </c>
      <c r="H693" s="28">
        <v>46120</v>
      </c>
      <c r="I693" s="29" t="s">
        <v>28</v>
      </c>
      <c r="J693" s="29">
        <v>1</v>
      </c>
      <c r="K693" s="30" t="s">
        <v>229</v>
      </c>
      <c r="M693" s="43" t="str">
        <v>distance</v>
      </c>
      <c r="N693" s="43" t="str">
        <f t="shared" si="47"/>
        <v>*distance*</v>
      </c>
      <c r="O693" s="43" t="str">
        <v>*after*</v>
      </c>
      <c r="P693" s="43">
        <f t="shared" si="48"/>
        <v>2</v>
      </c>
      <c r="Q693" s="43" t="str">
        <v>*until*</v>
      </c>
      <c r="R693" s="43">
        <v>1</v>
      </c>
      <c r="S693" s="43">
        <f t="shared" si="49"/>
        <v>2.95</v>
      </c>
      <c r="T693" s="43">
        <f t="shared" si="50"/>
        <v>1</v>
      </c>
    </row>
    <row r="694" spans="7:20">
      <c r="G694" s="62" cm="1">
        <f t="array" ref="G694">INDEX($D:$D, MATCH(1, (H694 &gt;= $B:$B) * (H694 &lt;= $C:$C), 0))</f>
        <v>14</v>
      </c>
      <c r="H694" s="28">
        <v>46120</v>
      </c>
      <c r="I694" s="29" t="s">
        <v>78</v>
      </c>
      <c r="J694" s="29">
        <v>1</v>
      </c>
      <c r="K694" s="30" t="s">
        <v>229</v>
      </c>
      <c r="M694" s="43" t="str">
        <v>length</v>
      </c>
      <c r="N694" s="43" t="str">
        <f t="shared" si="47"/>
        <v>*length*</v>
      </c>
      <c r="O694" s="43" t="str">
        <v>*organiza*</v>
      </c>
      <c r="P694" s="43">
        <f t="shared" si="48"/>
        <v>1</v>
      </c>
      <c r="Q694" s="43" t="str">
        <v>*documents*</v>
      </c>
      <c r="R694" s="43">
        <v>1</v>
      </c>
      <c r="S694" s="43">
        <f t="shared" si="49"/>
        <v>2.95</v>
      </c>
      <c r="T694" s="43">
        <f t="shared" si="50"/>
        <v>1</v>
      </c>
    </row>
    <row r="695" spans="7:20">
      <c r="G695" s="62" cm="1">
        <f t="array" ref="G695">INDEX($D:$D, MATCH(1, (H695 &gt;= $B:$B) * (H695 &lt;= $C:$C), 0))</f>
        <v>14</v>
      </c>
      <c r="H695" s="28">
        <v>46120</v>
      </c>
      <c r="I695" s="29" t="s">
        <v>24</v>
      </c>
      <c r="J695" s="29">
        <v>2.5</v>
      </c>
      <c r="K695" s="30" t="s">
        <v>419</v>
      </c>
      <c r="M695" s="43" t="str">
        <v>Adjust</v>
      </c>
      <c r="N695" s="43" t="str">
        <f t="shared" si="47"/>
        <v>*adjust*</v>
      </c>
      <c r="O695" s="43" t="str">
        <v>*vs*</v>
      </c>
      <c r="P695" s="43">
        <f t="shared" si="48"/>
        <v>1</v>
      </c>
      <c r="Q695" s="43" t="str">
        <v>*playtests*</v>
      </c>
      <c r="R695" s="43">
        <v>1</v>
      </c>
      <c r="S695" s="43">
        <f t="shared" si="49"/>
        <v>2.95</v>
      </c>
      <c r="T695" s="43">
        <f t="shared" si="50"/>
        <v>1</v>
      </c>
    </row>
    <row r="696" spans="7:20">
      <c r="G696" s="62" cm="1">
        <f t="array" ref="G696">INDEX($D:$D, MATCH(1, (H696 &gt;= $B:$B) * (H696 &lt;= $C:$C), 0))</f>
        <v>14</v>
      </c>
      <c r="H696" s="28">
        <v>46120</v>
      </c>
      <c r="I696" s="29" t="s">
        <v>28</v>
      </c>
      <c r="J696" s="29">
        <v>2.5</v>
      </c>
      <c r="K696" s="30" t="s">
        <v>419</v>
      </c>
      <c r="M696" s="43" t="str">
        <v>collectables</v>
      </c>
      <c r="N696" s="43" t="str">
        <f t="shared" ref="N696:N759" si="51">_xlfn.CONCAT("*",TRIM(CLEAN(_xlfn.REGEXREPLACE(LOWER($M696),$N$51,""))),"*")</f>
        <v>*collects*</v>
      </c>
      <c r="O696" s="43" t="str">
        <v>*systems*</v>
      </c>
      <c r="P696" s="43">
        <f t="shared" ref="P696:P759" si="52">COUNTIF($K$5:$K$1000,$O696)</f>
        <v>1</v>
      </c>
      <c r="Q696" s="43" t="str">
        <v>*book*</v>
      </c>
      <c r="R696" s="43">
        <v>1</v>
      </c>
      <c r="S696" s="43">
        <f t="shared" ref="S696:S759" si="53">ROUND(LOG(COUNTA($M$54:$M$1000)/R696,10),2)</f>
        <v>2.95</v>
      </c>
      <c r="T696" s="43">
        <f t="shared" si="50"/>
        <v>1</v>
      </c>
    </row>
    <row r="697" spans="7:20">
      <c r="G697" s="62" cm="1">
        <f t="array" ref="G697">INDEX($D:$D, MATCH(1, (H697 &gt;= $B:$B) * (H697 &lt;= $C:$C), 0))</f>
        <v>14</v>
      </c>
      <c r="H697" s="28">
        <v>46120</v>
      </c>
      <c r="I697" s="29" t="s">
        <v>26</v>
      </c>
      <c r="J697" s="29">
        <v>2.5</v>
      </c>
      <c r="K697" s="30" t="s">
        <v>419</v>
      </c>
      <c r="M697" s="43" t="str">
        <v>(spin</v>
      </c>
      <c r="N697" s="43" t="str">
        <f t="shared" si="51"/>
        <v>*spin*</v>
      </c>
      <c r="O697" s="43" t="str">
        <v>*cooked*</v>
      </c>
      <c r="P697" s="43">
        <f t="shared" si="52"/>
        <v>1</v>
      </c>
      <c r="Q697" s="43" t="str">
        <v>*installer*</v>
      </c>
      <c r="R697" s="43">
        <v>1</v>
      </c>
      <c r="S697" s="43">
        <f t="shared" si="53"/>
        <v>2.95</v>
      </c>
      <c r="T697" s="43">
        <f t="shared" ref="T697:T760" si="54">ROUND($S697/$S696,2)</f>
        <v>1</v>
      </c>
    </row>
    <row r="698" spans="7:20" ht="30">
      <c r="G698" s="62" cm="1">
        <f t="array" ref="G698">INDEX($D:$D, MATCH(1, (H698 &gt;= $B:$B) * (H698 &lt;= $C:$C), 0))</f>
        <v>14</v>
      </c>
      <c r="H698" s="28">
        <v>46120</v>
      </c>
      <c r="I698" s="29" t="s">
        <v>16</v>
      </c>
      <c r="J698" s="29">
        <v>3</v>
      </c>
      <c r="K698" s="30" t="s">
        <v>420</v>
      </c>
      <c r="M698" s="43" t="str">
        <v>bounce),</v>
      </c>
      <c r="N698" s="43" t="str">
        <f t="shared" si="51"/>
        <v>*bounce*</v>
      </c>
      <c r="O698" s="43" t="str">
        <v>*playtest*</v>
      </c>
      <c r="P698" s="43">
        <f t="shared" si="52"/>
        <v>13</v>
      </c>
      <c r="Q698" s="43" t="str">
        <v>*ue5*</v>
      </c>
      <c r="R698" s="43">
        <v>1</v>
      </c>
      <c r="S698" s="43">
        <f t="shared" si="53"/>
        <v>2.95</v>
      </c>
      <c r="T698" s="43">
        <f t="shared" si="54"/>
        <v>1</v>
      </c>
    </row>
    <row r="699" spans="7:20">
      <c r="G699" s="62" cm="1">
        <f t="array" ref="G699">INDEX($D:$D, MATCH(1, (H699 &gt;= $B:$B) * (H699 &lt;= $C:$C), 0))</f>
        <v>14</v>
      </c>
      <c r="H699" s="28">
        <v>46121</v>
      </c>
      <c r="I699" s="29" t="s">
        <v>28</v>
      </c>
      <c r="J699" s="29">
        <v>3.5</v>
      </c>
      <c r="K699" s="30" t="s">
        <v>421</v>
      </c>
      <c r="M699" s="43" t="str">
        <v>walk</v>
      </c>
      <c r="N699" s="43" t="str">
        <f t="shared" si="51"/>
        <v>*walk*</v>
      </c>
      <c r="O699" s="43" t="str">
        <v>*input*</v>
      </c>
      <c r="P699" s="43">
        <f t="shared" si="52"/>
        <v>1</v>
      </c>
      <c r="Q699" s="43" t="str">
        <v>*niagara*</v>
      </c>
      <c r="R699" s="43">
        <v>1</v>
      </c>
      <c r="S699" s="43">
        <f t="shared" si="53"/>
        <v>2.95</v>
      </c>
      <c r="T699" s="43">
        <f t="shared" si="54"/>
        <v>1</v>
      </c>
    </row>
    <row r="700" spans="7:20">
      <c r="G700" s="62" cm="1">
        <f t="array" ref="G700">INDEX($D:$D, MATCH(1, (H700 &gt;= $B:$B) * (H700 &lt;= $C:$C), 0))</f>
        <v>14</v>
      </c>
      <c r="H700" s="28">
        <v>46122</v>
      </c>
      <c r="I700" s="29" t="s">
        <v>16</v>
      </c>
      <c r="J700" s="29">
        <v>3</v>
      </c>
      <c r="K700" s="30" t="s">
        <v>422</v>
      </c>
      <c r="M700" s="43" t="str">
        <v>speed,</v>
      </c>
      <c r="N700" s="43" t="str">
        <f t="shared" si="51"/>
        <v>*speed*</v>
      </c>
      <c r="O700" s="43" t="str">
        <v>*acs*</v>
      </c>
      <c r="P700" s="43">
        <f t="shared" si="52"/>
        <v>0</v>
      </c>
      <c r="Q700" s="43" t="str">
        <v>*firef*</v>
      </c>
      <c r="R700" s="43">
        <v>1</v>
      </c>
      <c r="S700" s="43">
        <f t="shared" si="53"/>
        <v>2.95</v>
      </c>
      <c r="T700" s="43">
        <f t="shared" si="54"/>
        <v>1</v>
      </c>
    </row>
    <row r="701" spans="7:20">
      <c r="G701" s="62" cm="1">
        <f t="array" ref="G701">INDEX($D:$D, MATCH(1, (H701 &gt;= $B:$B) * (H701 &lt;= $C:$C), 0))</f>
        <v>14</v>
      </c>
      <c r="H701" s="28">
        <v>46122</v>
      </c>
      <c r="I701" s="29" t="s">
        <v>26</v>
      </c>
      <c r="J701" s="29">
        <v>3</v>
      </c>
      <c r="K701" s="30" t="s">
        <v>422</v>
      </c>
      <c r="M701" s="43" t="str">
        <v>model</v>
      </c>
      <c r="N701" s="43" t="str">
        <f t="shared" si="51"/>
        <v>*model*</v>
      </c>
      <c r="O701" s="43" t="str">
        <v>*toggle*</v>
      </c>
      <c r="P701" s="43">
        <f t="shared" si="52"/>
        <v>1</v>
      </c>
      <c r="Q701" s="43" t="str">
        <v>*nighttime*</v>
      </c>
      <c r="R701" s="43">
        <v>1</v>
      </c>
      <c r="S701" s="43">
        <f t="shared" si="53"/>
        <v>2.95</v>
      </c>
      <c r="T701" s="43">
        <f t="shared" si="54"/>
        <v>1</v>
      </c>
    </row>
    <row r="702" spans="7:20">
      <c r="G702" s="62" cm="1">
        <f t="array" ref="G702">INDEX($D:$D, MATCH(1, (H702 &gt;= $B:$B) * (H702 &lt;= $C:$C), 0))</f>
        <v>14</v>
      </c>
      <c r="H702" s="28">
        <v>46122</v>
      </c>
      <c r="I702" s="29" t="s">
        <v>78</v>
      </c>
      <c r="J702" s="29">
        <v>3</v>
      </c>
      <c r="K702" s="30" t="s">
        <v>422</v>
      </c>
      <c r="M702" s="43" t="str">
        <v>testing,</v>
      </c>
      <c r="N702" s="43" t="str">
        <f t="shared" si="51"/>
        <v>*test*</v>
      </c>
      <c r="O702" s="43" t="str">
        <v>*valves*</v>
      </c>
      <c r="P702" s="43">
        <f t="shared" si="52"/>
        <v>1</v>
      </c>
      <c r="Q702" s="43" t="str">
        <v>*colormechanicppv*</v>
      </c>
      <c r="R702" s="43">
        <v>1</v>
      </c>
      <c r="S702" s="43">
        <f t="shared" si="53"/>
        <v>2.95</v>
      </c>
      <c r="T702" s="43">
        <f t="shared" si="54"/>
        <v>1</v>
      </c>
    </row>
    <row r="703" spans="7:20">
      <c r="G703" s="62" cm="1">
        <f t="array" ref="G703">INDEX($D:$D, MATCH(1, (H703 &gt;= $B:$B) * (H703 &lt;= $C:$C), 0))</f>
        <v>14</v>
      </c>
      <c r="H703" s="28">
        <v>46122</v>
      </c>
      <c r="I703" s="29" t="s">
        <v>28</v>
      </c>
      <c r="J703" s="29">
        <v>3</v>
      </c>
      <c r="K703" s="30" t="s">
        <v>422</v>
      </c>
      <c r="M703" s="43" t="str">
        <v>collection</v>
      </c>
      <c r="N703" s="43" t="str">
        <f t="shared" si="51"/>
        <v>*collec*</v>
      </c>
      <c r="O703" s="43" t="str">
        <v>*handl*</v>
      </c>
      <c r="P703" s="43">
        <f t="shared" si="52"/>
        <v>1</v>
      </c>
      <c r="Q703" s="43" t="str">
        <v>*visibil*</v>
      </c>
      <c r="R703" s="43">
        <v>1</v>
      </c>
      <c r="S703" s="43">
        <f t="shared" si="53"/>
        <v>2.95</v>
      </c>
      <c r="T703" s="43">
        <f t="shared" si="54"/>
        <v>1</v>
      </c>
    </row>
    <row r="704" spans="7:20">
      <c r="G704" s="62" cm="1">
        <f t="array" ref="G704">INDEX($D:$D, MATCH(1, (H704 &gt;= $B:$B) * (H704 &lt;= $C:$C), 0))</f>
        <v>14</v>
      </c>
      <c r="H704" s="28">
        <v>46123</v>
      </c>
      <c r="I704" s="29" t="s">
        <v>16</v>
      </c>
      <c r="J704" s="29">
        <v>2</v>
      </c>
      <c r="K704" s="30" t="s">
        <v>423</v>
      </c>
      <c r="M704" s="43" t="str">
        <v>jingle,</v>
      </c>
      <c r="N704" s="43" t="str">
        <f t="shared" si="51"/>
        <v>*jingle*</v>
      </c>
      <c r="O704" s="43" t="str">
        <v>*sessions*</v>
      </c>
      <c r="P704" s="43">
        <f t="shared" si="52"/>
        <v>1</v>
      </c>
      <c r="Q704" s="43" t="str">
        <v>*gathered*</v>
      </c>
      <c r="R704" s="43">
        <v>1</v>
      </c>
      <c r="S704" s="43">
        <f t="shared" si="53"/>
        <v>2.95</v>
      </c>
      <c r="T704" s="43">
        <f t="shared" si="54"/>
        <v>1</v>
      </c>
    </row>
    <row r="705" spans="7:20">
      <c r="G705" s="62" cm="1">
        <f t="array" ref="G705">INDEX($D:$D, MATCH(1, (H705 &gt;= $B:$B) * (H705 &lt;= $C:$C), 0))</f>
        <v>14</v>
      </c>
      <c r="H705" s="28">
        <v>46123</v>
      </c>
      <c r="I705" s="29" t="s">
        <v>28</v>
      </c>
      <c r="J705" s="29">
        <v>3</v>
      </c>
      <c r="K705" s="30" t="s">
        <v>424</v>
      </c>
      <c r="M705" s="43" t="str">
        <v>obstacle</v>
      </c>
      <c r="N705" s="43" t="str">
        <f t="shared" si="51"/>
        <v>*obstacle*</v>
      </c>
      <c r="O705" s="43" t="str">
        <v>*map*</v>
      </c>
      <c r="P705" s="43">
        <f t="shared" si="52"/>
        <v>2</v>
      </c>
      <c r="Q705" s="43" t="str">
        <v>*shoreline*</v>
      </c>
      <c r="R705" s="43">
        <v>1</v>
      </c>
      <c r="S705" s="43">
        <f t="shared" si="53"/>
        <v>2.95</v>
      </c>
      <c r="T705" s="43">
        <f t="shared" si="54"/>
        <v>1</v>
      </c>
    </row>
    <row r="706" spans="7:20">
      <c r="G706" s="62" cm="1">
        <f t="array" ref="G706">INDEX($D:$D, MATCH(1, (H706 &gt;= $B:$B) * (H706 &lt;= $C:$C), 0))</f>
        <v>14</v>
      </c>
      <c r="H706" s="28">
        <v>46124</v>
      </c>
      <c r="I706" s="29" t="s">
        <v>78</v>
      </c>
      <c r="J706" s="29">
        <v>2.5</v>
      </c>
      <c r="K706" s="30" t="s">
        <v>425</v>
      </c>
      <c r="M706" s="43" t="str">
        <v>teleport</v>
      </c>
      <c r="N706" s="43" t="str">
        <f t="shared" si="51"/>
        <v>*teleport*</v>
      </c>
      <c r="O706" s="43" t="str">
        <v>*6*</v>
      </c>
      <c r="P706" s="43">
        <f t="shared" si="52"/>
        <v>1</v>
      </c>
      <c r="Q706" s="43" t="str">
        <v>*beach*</v>
      </c>
      <c r="R706" s="43">
        <v>1</v>
      </c>
      <c r="S706" s="43">
        <f t="shared" si="53"/>
        <v>2.95</v>
      </c>
      <c r="T706" s="43">
        <f t="shared" si="54"/>
        <v>1</v>
      </c>
    </row>
    <row r="707" spans="7:20">
      <c r="G707" s="62" cm="1">
        <f t="array" ref="G707">INDEX($D:$D, MATCH(1, (H707 &gt;= $B:$B) * (H707 &lt;= $C:$C), 0))</f>
        <v>14</v>
      </c>
      <c r="H707" s="28">
        <v>46124</v>
      </c>
      <c r="I707" s="29" t="s">
        <v>28</v>
      </c>
      <c r="J707" s="29">
        <v>3</v>
      </c>
      <c r="K707" s="30" t="s">
        <v>426</v>
      </c>
      <c r="M707" s="43" t="str">
        <v>puzzle,</v>
      </c>
      <c r="N707" s="43" t="str">
        <f t="shared" si="51"/>
        <v>*puzzle*</v>
      </c>
      <c r="O707" s="43" t="str">
        <v>*suggess*</v>
      </c>
      <c r="P707" s="43">
        <f t="shared" si="52"/>
        <v>0</v>
      </c>
      <c r="Q707" s="43" t="str">
        <v>*fade*</v>
      </c>
      <c r="R707" s="43">
        <v>1</v>
      </c>
      <c r="S707" s="43">
        <f t="shared" si="53"/>
        <v>2.95</v>
      </c>
      <c r="T707" s="43">
        <f t="shared" si="54"/>
        <v>1</v>
      </c>
    </row>
    <row r="708" spans="7:20">
      <c r="G708" s="62" cm="1">
        <f t="array" ref="G708">INDEX($D:$D, MATCH(1, (H708 &gt;= $B:$B) * (H708 &lt;= $C:$C), 0))</f>
        <v>14</v>
      </c>
      <c r="H708" s="28">
        <v>46124</v>
      </c>
      <c r="I708" s="29" t="s">
        <v>24</v>
      </c>
      <c r="J708" s="29">
        <v>2</v>
      </c>
      <c r="K708" s="30" t="s">
        <v>427</v>
      </c>
      <c r="M708" s="43" t="str">
        <v>building</v>
      </c>
      <c r="N708" s="43" t="str">
        <f t="shared" si="51"/>
        <v>*build*</v>
      </c>
      <c r="O708" s="43" t="str">
        <v>*7*</v>
      </c>
      <c r="P708" s="43">
        <f t="shared" si="52"/>
        <v>1</v>
      </c>
      <c r="Q708" s="43" t="str">
        <v>*black*</v>
      </c>
      <c r="R708" s="43">
        <v>1</v>
      </c>
      <c r="S708" s="43">
        <f t="shared" si="53"/>
        <v>2.95</v>
      </c>
      <c r="T708" s="43">
        <f t="shared" si="54"/>
        <v>1</v>
      </c>
    </row>
    <row r="709" spans="7:20">
      <c r="G709" s="62" cm="1">
        <f t="array" ref="G709">INDEX($D:$D, MATCH(1, (H709 &gt;= $B:$B) * (H709 &lt;= $C:$C), 0))</f>
        <v>14</v>
      </c>
      <c r="H709" s="28">
        <v>46125</v>
      </c>
      <c r="I709" s="29" t="s">
        <v>78</v>
      </c>
      <c r="J709" s="29">
        <v>1.5</v>
      </c>
      <c r="K709" s="30" t="s">
        <v>428</v>
      </c>
      <c r="M709" s="43" t="str">
        <v>exe</v>
      </c>
      <c r="N709" s="43" t="str">
        <f t="shared" si="51"/>
        <v>*exe*</v>
      </c>
      <c r="O709" s="43" t="str">
        <v>*state*</v>
      </c>
      <c r="P709" s="43">
        <f t="shared" si="52"/>
        <v>2</v>
      </c>
      <c r="Q709" s="43" t="str">
        <v>*visuals*</v>
      </c>
      <c r="R709" s="43">
        <v>1</v>
      </c>
      <c r="S709" s="43">
        <f t="shared" si="53"/>
        <v>2.95</v>
      </c>
      <c r="T709" s="43">
        <f t="shared" si="54"/>
        <v>1</v>
      </c>
    </row>
    <row r="710" spans="7:20">
      <c r="G710" s="62" cm="1">
        <f t="array" ref="G710">INDEX($D:$D, MATCH(1, (H710 &gt;= $B:$B) * (H710 &lt;= $C:$C), 0))</f>
        <v>14</v>
      </c>
      <c r="H710" s="28">
        <v>46125</v>
      </c>
      <c r="I710" s="29" t="s">
        <v>16</v>
      </c>
      <c r="J710" s="29">
        <v>1</v>
      </c>
      <c r="K710" s="30" t="s">
        <v>271</v>
      </c>
      <c r="M710" s="43" t="str">
        <v>further</v>
      </c>
      <c r="N710" s="43" t="str">
        <f t="shared" si="51"/>
        <v>*further*</v>
      </c>
      <c r="O710" s="43" t="str">
        <v>*8*</v>
      </c>
      <c r="P710" s="43">
        <f t="shared" si="52"/>
        <v>3</v>
      </c>
      <c r="Q710" s="43" t="str">
        <v>*cleanups*</v>
      </c>
      <c r="R710" s="43">
        <v>1</v>
      </c>
      <c r="S710" s="43">
        <f t="shared" si="53"/>
        <v>2.95</v>
      </c>
      <c r="T710" s="43">
        <f t="shared" si="54"/>
        <v>1</v>
      </c>
    </row>
    <row r="711" spans="7:20">
      <c r="G711" s="62" cm="1">
        <f t="array" ref="G711">INDEX($D:$D, MATCH(1, (H711 &gt;= $B:$B) * (H711 &lt;= $C:$C), 0))</f>
        <v>14</v>
      </c>
      <c r="H711" s="28">
        <v>46125</v>
      </c>
      <c r="I711" s="29" t="s">
        <v>78</v>
      </c>
      <c r="J711" s="29">
        <v>1</v>
      </c>
      <c r="K711" s="30" t="s">
        <v>271</v>
      </c>
      <c r="M711" s="43" t="str">
        <v>internal</v>
      </c>
      <c r="N711" s="43" t="str">
        <f t="shared" si="51"/>
        <v>*internal*</v>
      </c>
      <c r="O711" s="43" t="str">
        <v>*look*</v>
      </c>
      <c r="P711" s="43">
        <f t="shared" si="52"/>
        <v>1</v>
      </c>
      <c r="Q711" s="43" t="str">
        <v>*cool*</v>
      </c>
      <c r="R711" s="43">
        <v>1</v>
      </c>
      <c r="S711" s="43">
        <f t="shared" si="53"/>
        <v>2.95</v>
      </c>
      <c r="T711" s="43">
        <f t="shared" si="54"/>
        <v>1</v>
      </c>
    </row>
    <row r="712" spans="7:20">
      <c r="G712" s="62" cm="1">
        <f t="array" ref="G712">INDEX($D:$D, MATCH(1, (H712 &gt;= $B:$B) * (H712 &lt;= $C:$C), 0))</f>
        <v>14</v>
      </c>
      <c r="H712" s="28">
        <v>46125</v>
      </c>
      <c r="I712" s="29" t="s">
        <v>34</v>
      </c>
      <c r="J712" s="29">
        <v>1</v>
      </c>
      <c r="K712" s="30" t="s">
        <v>271</v>
      </c>
      <c r="M712" s="43" t="str">
        <v>test</v>
      </c>
      <c r="N712" s="43" t="str">
        <f t="shared" si="51"/>
        <v>*test*</v>
      </c>
      <c r="O712" s="43" t="str">
        <v>*interacs*</v>
      </c>
      <c r="P712" s="43">
        <f t="shared" si="52"/>
        <v>0</v>
      </c>
      <c r="Q712" s="43" t="str">
        <v>*central*</v>
      </c>
      <c r="R712" s="43">
        <v>1</v>
      </c>
      <c r="S712" s="43">
        <f t="shared" si="53"/>
        <v>2.95</v>
      </c>
      <c r="T712" s="43">
        <f t="shared" si="54"/>
        <v>1</v>
      </c>
    </row>
    <row r="713" spans="7:20">
      <c r="G713" s="62" cm="1">
        <f t="array" ref="G713">INDEX($D:$D, MATCH(1, (H713 &gt;= $B:$B) * (H713 &lt;= $C:$C), 0))</f>
        <v>14</v>
      </c>
      <c r="H713" s="28">
        <v>46125</v>
      </c>
      <c r="I713" s="29" t="s">
        <v>28</v>
      </c>
      <c r="J713" s="29">
        <v>1</v>
      </c>
      <c r="K713" s="30" t="s">
        <v>271</v>
      </c>
      <c r="M713" s="43" t="str">
        <v>results</v>
      </c>
      <c r="N713" s="43" t="str">
        <f t="shared" si="51"/>
        <v>*results*</v>
      </c>
      <c r="O713" s="43" t="str">
        <v>*p4ignore*</v>
      </c>
      <c r="P713" s="43">
        <f t="shared" si="52"/>
        <v>1</v>
      </c>
      <c r="Q713" s="43" t="str">
        <v>*temple*</v>
      </c>
      <c r="R713" s="43">
        <v>1</v>
      </c>
      <c r="S713" s="43">
        <f t="shared" si="53"/>
        <v>2.95</v>
      </c>
      <c r="T713" s="43">
        <f t="shared" si="54"/>
        <v>1</v>
      </c>
    </row>
    <row r="714" spans="7:20">
      <c r="G714" s="62" cm="1">
        <f t="array" ref="G714">INDEX($D:$D, MATCH(1, (H714 &gt;= $B:$B) * (H714 &lt;= $C:$C), 0))</f>
        <v>14</v>
      </c>
      <c r="H714" s="28">
        <v>46125</v>
      </c>
      <c r="I714" s="29" t="s">
        <v>26</v>
      </c>
      <c r="J714" s="29">
        <v>1</v>
      </c>
      <c r="K714" s="30" t="s">
        <v>271</v>
      </c>
      <c r="M714" s="43" t="str">
        <v>caves</v>
      </c>
      <c r="N714" s="43" t="str">
        <f t="shared" si="51"/>
        <v>*caves*</v>
      </c>
      <c r="O714" s="43" t="str">
        <v>*couple*</v>
      </c>
      <c r="P714" s="43">
        <f t="shared" si="52"/>
        <v>1</v>
      </c>
      <c r="Q714" s="43" t="str">
        <v>*improvements*</v>
      </c>
      <c r="R714" s="43">
        <v>1</v>
      </c>
      <c r="S714" s="43">
        <f t="shared" si="53"/>
        <v>2.95</v>
      </c>
      <c r="T714" s="43">
        <f t="shared" si="54"/>
        <v>1</v>
      </c>
    </row>
    <row r="715" spans="7:20" ht="30">
      <c r="G715" s="62" cm="1">
        <f t="array" ref="G715">INDEX($D:$D, MATCH(1, (H715 &gt;= $B:$B) * (H715 &lt;= $C:$C), 0))</f>
        <v>14</v>
      </c>
      <c r="H715" s="28">
        <v>46125</v>
      </c>
      <c r="I715" s="29" t="s">
        <v>16</v>
      </c>
      <c r="J715" s="29">
        <v>4</v>
      </c>
      <c r="K715" s="30" t="s">
        <v>429</v>
      </c>
      <c r="M715" s="43" t="str">
        <v>simple</v>
      </c>
      <c r="N715" s="43" t="str">
        <f t="shared" si="51"/>
        <v>*simple*</v>
      </c>
      <c r="O715" s="43" t="str">
        <v>*issues*</v>
      </c>
      <c r="P715" s="43">
        <f t="shared" si="52"/>
        <v>3</v>
      </c>
      <c r="Q715" s="43" t="str">
        <v>*webbed*</v>
      </c>
      <c r="R715" s="43">
        <v>1</v>
      </c>
      <c r="S715" s="43">
        <f t="shared" si="53"/>
        <v>2.95</v>
      </c>
      <c r="T715" s="43">
        <f t="shared" si="54"/>
        <v>1</v>
      </c>
    </row>
    <row r="716" spans="7:20">
      <c r="G716" s="62" cm="1">
        <f t="array" ref="G716">INDEX($D:$D, MATCH(1, (H716 &gt;= $B:$B) * (H716 &lt;= $C:$C), 0))</f>
        <v>14</v>
      </c>
      <c r="H716" s="28">
        <v>46125</v>
      </c>
      <c r="I716" s="29" t="s">
        <v>24</v>
      </c>
      <c r="J716" s="29">
        <v>2</v>
      </c>
      <c r="K716" s="30" t="s">
        <v>430</v>
      </c>
      <c r="M716" s="43" t="str">
        <v>water</v>
      </c>
      <c r="N716" s="43" t="str">
        <f t="shared" si="51"/>
        <v>*water*</v>
      </c>
      <c r="O716" s="43" t="str">
        <v>*cutscenes*</v>
      </c>
      <c r="P716" s="43">
        <f t="shared" si="52"/>
        <v>5</v>
      </c>
      <c r="Q716" s="43" t="str">
        <v>*allow*</v>
      </c>
      <c r="R716" s="43">
        <v>1</v>
      </c>
      <c r="S716" s="43">
        <f t="shared" si="53"/>
        <v>2.95</v>
      </c>
      <c r="T716" s="43">
        <f t="shared" si="54"/>
        <v>1</v>
      </c>
    </row>
    <row r="717" spans="7:20">
      <c r="G717" s="62" cm="1">
        <f t="array" ref="G717">INDEX($D:$D, MATCH(1, (H717 &gt;= $B:$B) * (H717 &lt;= $C:$C), 0))</f>
        <v>14</v>
      </c>
      <c r="H717" s="28">
        <v>46125</v>
      </c>
      <c r="I717" s="29" t="s">
        <v>24</v>
      </c>
      <c r="J717" s="29">
        <v>1</v>
      </c>
      <c r="K717" s="30" t="s">
        <v>431</v>
      </c>
      <c r="M717" s="43" t="str">
        <v>collision</v>
      </c>
      <c r="N717" s="43" t="str">
        <f t="shared" si="51"/>
        <v>*collision*</v>
      </c>
      <c r="O717" s="43" t="str">
        <v>*audio*</v>
      </c>
      <c r="P717" s="43">
        <f t="shared" si="52"/>
        <v>3</v>
      </c>
      <c r="Q717" s="43" t="str">
        <v>*required*</v>
      </c>
      <c r="R717" s="43">
        <v>1</v>
      </c>
      <c r="S717" s="43">
        <f t="shared" si="53"/>
        <v>2.95</v>
      </c>
      <c r="T717" s="43">
        <f t="shared" si="54"/>
        <v>1</v>
      </c>
    </row>
    <row r="718" spans="7:20">
      <c r="G718" s="62" cm="1">
        <f t="array" ref="G718">INDEX($D:$D, MATCH(1, (H718 &gt;= $B:$B) * (H718 &lt;= $C:$C), 0))</f>
        <v>14</v>
      </c>
      <c r="H718" s="28">
        <v>46125</v>
      </c>
      <c r="I718" s="29" t="s">
        <v>24</v>
      </c>
      <c r="J718" s="29">
        <v>2</v>
      </c>
      <c r="K718" s="30" t="s">
        <v>432</v>
      </c>
      <c r="M718" s="43" t="str">
        <v>player;</v>
      </c>
      <c r="N718" s="43" t="str">
        <f t="shared" si="51"/>
        <v>*player*</v>
      </c>
      <c r="O718" s="43" t="str">
        <v>*particle*</v>
      </c>
      <c r="P718" s="43">
        <f t="shared" si="52"/>
        <v>4</v>
      </c>
      <c r="Q718" s="43" t="str">
        <v>*number*</v>
      </c>
      <c r="R718" s="43">
        <v>1</v>
      </c>
      <c r="S718" s="43">
        <f t="shared" si="53"/>
        <v>2.95</v>
      </c>
      <c r="T718" s="43">
        <f t="shared" si="54"/>
        <v>1</v>
      </c>
    </row>
    <row r="719" spans="7:20">
      <c r="G719" s="62" cm="1">
        <f t="array" ref="G719">INDEX($D:$D, MATCH(1, (H719 &gt;= $B:$B) * (H719 &lt;= $C:$C), 0))</f>
        <v>14</v>
      </c>
      <c r="H719" s="28">
        <v>46125</v>
      </c>
      <c r="I719" s="29" t="s">
        <v>34</v>
      </c>
      <c r="J719" s="29">
        <v>4</v>
      </c>
      <c r="K719" s="30" t="s">
        <v>433</v>
      </c>
      <c r="M719" s="43" t="str">
        <v>waiting</v>
      </c>
      <c r="N719" s="43" t="str">
        <f t="shared" si="51"/>
        <v>*wait*</v>
      </c>
      <c r="O719" s="43" t="str">
        <v>*splines*</v>
      </c>
      <c r="P719" s="43">
        <f t="shared" si="52"/>
        <v>2</v>
      </c>
      <c r="Q719" s="43" t="str">
        <v>*collected*</v>
      </c>
      <c r="R719" s="43">
        <v>1</v>
      </c>
      <c r="S719" s="43">
        <f t="shared" si="53"/>
        <v>2.95</v>
      </c>
      <c r="T719" s="43">
        <f t="shared" si="54"/>
        <v>1</v>
      </c>
    </row>
    <row r="720" spans="7:20">
      <c r="G720" s="62" cm="1">
        <f t="array" ref="G720">INDEX($D:$D, MATCH(1, (H720 &gt;= $B:$B) * (H720 &lt;= $C:$C), 0))</f>
        <v>14</v>
      </c>
      <c r="H720" s="28">
        <v>46125</v>
      </c>
      <c r="I720" s="29" t="s">
        <v>24</v>
      </c>
      <c r="J720" s="29">
        <v>2</v>
      </c>
      <c r="K720" s="30" t="s">
        <v>434</v>
      </c>
      <c r="M720" s="43" t="str">
        <v>until</v>
      </c>
      <c r="N720" s="43" t="str">
        <f t="shared" si="51"/>
        <v>*until*</v>
      </c>
      <c r="O720" s="43" t="str">
        <v>*prototype*</v>
      </c>
      <c r="P720" s="43">
        <f t="shared" si="52"/>
        <v>1</v>
      </c>
      <c r="Q720" s="43" t="str">
        <v>*write*</v>
      </c>
      <c r="R720" s="43">
        <v>1</v>
      </c>
      <c r="S720" s="43">
        <f t="shared" si="53"/>
        <v>2.95</v>
      </c>
      <c r="T720" s="43">
        <f t="shared" si="54"/>
        <v>1</v>
      </c>
    </row>
    <row r="721" spans="7:20">
      <c r="G721" s="62" cm="1">
        <f t="array" ref="G721">INDEX($D:$D, MATCH(1, (H721 &gt;= $B:$B) * (H721 &lt;= $C:$C), 0))</f>
        <v>14</v>
      </c>
      <c r="H721" s="28">
        <v>46125</v>
      </c>
      <c r="I721" s="29" t="s">
        <v>24</v>
      </c>
      <c r="J721" s="29">
        <v>3</v>
      </c>
      <c r="K721" s="30" t="s">
        <v>435</v>
      </c>
      <c r="M721" s="43" t="str">
        <v>is</v>
      </c>
      <c r="N721" s="43" t="str">
        <f t="shared" si="51"/>
        <v>*is*</v>
      </c>
      <c r="O721" s="43" t="str">
        <v>*tweak*</v>
      </c>
      <c r="P721" s="43">
        <f t="shared" si="52"/>
        <v>2</v>
      </c>
      <c r="Q721" s="43" t="str">
        <v>*types*</v>
      </c>
      <c r="R721" s="43">
        <v>1</v>
      </c>
      <c r="S721" s="43">
        <f t="shared" si="53"/>
        <v>2.95</v>
      </c>
      <c r="T721" s="43">
        <f t="shared" si="54"/>
        <v>1</v>
      </c>
    </row>
    <row r="722" spans="7:20">
      <c r="G722" s="62" cm="1">
        <f t="array" ref="G722">INDEX($D:$D, MATCH(1, (H722 &gt;= $B:$B) * (H722 &lt;= $C:$C), 0))</f>
        <v>14</v>
      </c>
      <c r="H722" s="28">
        <v>46125</v>
      </c>
      <c r="I722" s="29" t="s">
        <v>24</v>
      </c>
      <c r="J722" s="29">
        <v>2.5</v>
      </c>
      <c r="K722" s="30" t="s">
        <v>436</v>
      </c>
      <c r="M722" s="43" t="str">
        <v>documents</v>
      </c>
      <c r="N722" s="43" t="str">
        <f t="shared" si="51"/>
        <v>*documents*</v>
      </c>
      <c r="O722" s="43" t="str">
        <v>*runn*</v>
      </c>
      <c r="P722" s="43">
        <f t="shared" si="52"/>
        <v>2</v>
      </c>
      <c r="Q722" s="43" t="str">
        <v>*effort*</v>
      </c>
      <c r="R722" s="43">
        <v>1</v>
      </c>
      <c r="S722" s="43">
        <f t="shared" si="53"/>
        <v>2.95</v>
      </c>
      <c r="T722" s="43">
        <f t="shared" si="54"/>
        <v>1</v>
      </c>
    </row>
    <row r="723" spans="7:20">
      <c r="G723" s="62" cm="1">
        <f t="array" ref="G723">INDEX($D:$D, MATCH(1, (H723 &gt;= $B:$B) * (H723 &lt;= $C:$C), 0))</f>
        <v>14</v>
      </c>
      <c r="H723" s="28">
        <v>46125</v>
      </c>
      <c r="I723" s="29" t="s">
        <v>24</v>
      </c>
      <c r="J723" s="29">
        <v>4</v>
      </c>
      <c r="K723" s="30" t="s">
        <v>437</v>
      </c>
      <c r="M723" s="43" t="str">
        <v>External</v>
      </c>
      <c r="N723" s="43" t="str">
        <f t="shared" si="51"/>
        <v>*external*</v>
      </c>
      <c r="O723" s="43" t="str">
        <v>*walkrunn*</v>
      </c>
      <c r="P723" s="43">
        <f t="shared" si="52"/>
        <v>0</v>
      </c>
      <c r="Q723" s="43" t="str">
        <v>*food*</v>
      </c>
      <c r="R723" s="43">
        <v>1</v>
      </c>
      <c r="S723" s="43">
        <f t="shared" si="53"/>
        <v>2.95</v>
      </c>
      <c r="T723" s="43">
        <f t="shared" si="54"/>
        <v>1</v>
      </c>
    </row>
    <row r="724" spans="7:20">
      <c r="G724" s="62" cm="1">
        <f t="array" ref="G724">INDEX($D:$D, MATCH(1, (H724 &gt;= $B:$B) * (H724 &lt;= $C:$C), 0))</f>
        <v>14</v>
      </c>
      <c r="H724" s="28">
        <v>46126</v>
      </c>
      <c r="I724" s="29" t="s">
        <v>28</v>
      </c>
      <c r="J724" s="29">
        <v>4</v>
      </c>
      <c r="K724" s="30" t="s">
        <v>438</v>
      </c>
      <c r="M724" s="43" t="str">
        <v>playtests</v>
      </c>
      <c r="N724" s="43" t="str">
        <f t="shared" si="51"/>
        <v>*playtests*</v>
      </c>
      <c r="O724" s="43" t="str">
        <v>*save*</v>
      </c>
      <c r="P724" s="43">
        <f t="shared" si="52"/>
        <v>2</v>
      </c>
      <c r="Q724" s="43" t="str">
        <v>*tester*</v>
      </c>
      <c r="R724" s="43">
        <v>1</v>
      </c>
      <c r="S724" s="43">
        <f t="shared" si="53"/>
        <v>2.95</v>
      </c>
      <c r="T724" s="43">
        <f t="shared" si="54"/>
        <v>1</v>
      </c>
    </row>
    <row r="725" spans="7:20">
      <c r="G725" s="62" cm="1">
        <f t="array" ref="G725">INDEX($D:$D, MATCH(1, (H725 &gt;= $B:$B) * (H725 &lt;= $C:$C), 0))</f>
        <v>14</v>
      </c>
      <c r="H725" s="28">
        <v>46126</v>
      </c>
      <c r="I725" s="29" t="s">
        <v>16</v>
      </c>
      <c r="J725" s="29">
        <v>1</v>
      </c>
      <c r="K725" s="30" t="s">
        <v>439</v>
      </c>
      <c r="M725" s="43" t="str">
        <v>book</v>
      </c>
      <c r="N725" s="43" t="str">
        <f t="shared" si="51"/>
        <v>*book*</v>
      </c>
      <c r="O725" s="43" t="str">
        <v>*unlock*</v>
      </c>
      <c r="P725" s="43">
        <f t="shared" si="52"/>
        <v>2</v>
      </c>
      <c r="Q725" s="43" t="str">
        <v>*organiza*</v>
      </c>
      <c r="R725" s="43">
        <v>1</v>
      </c>
      <c r="S725" s="43">
        <f t="shared" si="53"/>
        <v>2.95</v>
      </c>
      <c r="T725" s="43">
        <f t="shared" si="54"/>
        <v>1</v>
      </c>
    </row>
    <row r="726" spans="7:20">
      <c r="G726" s="62" cm="1">
        <f t="array" ref="G726">INDEX($D:$D, MATCH(1, (H726 &gt;= $B:$B) * (H726 &lt;= $C:$C), 0))</f>
        <v>14</v>
      </c>
      <c r="H726" s="28">
        <v>46128</v>
      </c>
      <c r="I726" s="29" t="s">
        <v>78</v>
      </c>
      <c r="J726" s="29">
        <v>1.5</v>
      </c>
      <c r="K726" s="30" t="s">
        <v>440</v>
      </c>
      <c r="M726" s="43" t="str">
        <v>Website</v>
      </c>
      <c r="N726" s="43" t="str">
        <f t="shared" si="51"/>
        <v>*website*</v>
      </c>
      <c r="O726" s="43" t="str">
        <v>*clos*</v>
      </c>
      <c r="P726" s="43">
        <f t="shared" si="52"/>
        <v>1</v>
      </c>
      <c r="Q726" s="43" t="str">
        <v>*vs*</v>
      </c>
      <c r="R726" s="43">
        <v>1</v>
      </c>
      <c r="S726" s="43">
        <f t="shared" si="53"/>
        <v>2.95</v>
      </c>
      <c r="T726" s="43">
        <f t="shared" si="54"/>
        <v>1</v>
      </c>
    </row>
    <row r="727" spans="7:20" ht="30">
      <c r="G727" s="62" cm="1">
        <f t="array" ref="G727">INDEX($D:$D, MATCH(1, (H727 &gt;= $B:$B) * (H727 &lt;= $C:$C), 0))</f>
        <v>14</v>
      </c>
      <c r="H727" s="28">
        <v>46128</v>
      </c>
      <c r="I727" s="29" t="s">
        <v>78</v>
      </c>
      <c r="J727" s="29">
        <v>3</v>
      </c>
      <c r="K727" s="30" t="s">
        <v>441</v>
      </c>
      <c r="M727" s="43" t="str">
        <v>Installer</v>
      </c>
      <c r="N727" s="43" t="str">
        <f t="shared" si="51"/>
        <v>*installer*</v>
      </c>
      <c r="O727" s="43" t="str">
        <v>*dynamical*</v>
      </c>
      <c r="P727" s="43">
        <f t="shared" si="52"/>
        <v>1</v>
      </c>
      <c r="Q727" s="43" t="str">
        <v>*systems*</v>
      </c>
      <c r="R727" s="43">
        <v>1</v>
      </c>
      <c r="S727" s="43">
        <f t="shared" si="53"/>
        <v>2.95</v>
      </c>
      <c r="T727" s="43">
        <f t="shared" si="54"/>
        <v>1</v>
      </c>
    </row>
    <row r="728" spans="7:20" ht="30">
      <c r="G728" s="62" cm="1">
        <f t="array" ref="G728">INDEX($D:$D, MATCH(1, (H728 &gt;= $B:$B) * (H728 &lt;= $C:$C), 0))</f>
        <v>14</v>
      </c>
      <c r="H728" s="28">
        <v>46128</v>
      </c>
      <c r="I728" s="29" t="s">
        <v>16</v>
      </c>
      <c r="J728" s="29">
        <v>7</v>
      </c>
      <c r="K728" s="30" t="s">
        <v>442</v>
      </c>
      <c r="M728" s="43" t="str">
        <v>UE5</v>
      </c>
      <c r="N728" s="43" t="str">
        <f t="shared" si="51"/>
        <v>*ue5*</v>
      </c>
      <c r="O728" s="43" t="str">
        <v>*presett*</v>
      </c>
      <c r="P728" s="43">
        <f t="shared" si="52"/>
        <v>1</v>
      </c>
      <c r="Q728" s="43" t="str">
        <v>*cooked*</v>
      </c>
      <c r="R728" s="43">
        <v>1</v>
      </c>
      <c r="S728" s="43">
        <f t="shared" si="53"/>
        <v>2.95</v>
      </c>
      <c r="T728" s="43">
        <f t="shared" si="54"/>
        <v>1</v>
      </c>
    </row>
    <row r="729" spans="7:20">
      <c r="G729" s="62" cm="1">
        <f t="array" ref="G729">INDEX($D:$D, MATCH(1, (H729 &gt;= $B:$B) * (H729 &lt;= $C:$C), 0))</f>
        <v>14</v>
      </c>
      <c r="H729" s="28">
        <v>46129</v>
      </c>
      <c r="I729" s="29" t="s">
        <v>16</v>
      </c>
      <c r="J729" s="29">
        <v>4</v>
      </c>
      <c r="K729" s="30" t="s">
        <v>443</v>
      </c>
      <c r="M729" s="43" t="str">
        <v>Niagara</v>
      </c>
      <c r="N729" s="43" t="str">
        <f t="shared" si="51"/>
        <v>*niagara*</v>
      </c>
      <c r="O729" s="43" t="str">
        <v>*random*</v>
      </c>
      <c r="P729" s="43">
        <f t="shared" si="52"/>
        <v>1</v>
      </c>
      <c r="Q729" s="43" t="str">
        <v>*input*</v>
      </c>
      <c r="R729" s="43">
        <v>1</v>
      </c>
      <c r="S729" s="43">
        <f t="shared" si="53"/>
        <v>2.95</v>
      </c>
      <c r="T729" s="43">
        <f t="shared" si="54"/>
        <v>1</v>
      </c>
    </row>
    <row r="730" spans="7:20">
      <c r="G730" s="62" cm="1">
        <f t="array" ref="G730">INDEX($D:$D, MATCH(1, (H730 &gt;= $B:$B) * (H730 &lt;= $C:$C), 0))</f>
        <v>14</v>
      </c>
      <c r="H730" s="28">
        <v>46129</v>
      </c>
      <c r="I730" s="29" t="s">
        <v>34</v>
      </c>
      <c r="J730" s="29">
        <v>4</v>
      </c>
      <c r="K730" s="30" t="s">
        <v>443</v>
      </c>
      <c r="M730" s="43" t="str">
        <v>system,</v>
      </c>
      <c r="N730" s="43" t="str">
        <f t="shared" si="51"/>
        <v>*system*</v>
      </c>
      <c r="O730" s="43" t="str">
        <v>*varia*</v>
      </c>
      <c r="P730" s="43">
        <f t="shared" si="52"/>
        <v>2</v>
      </c>
      <c r="Q730" s="43" t="str">
        <v>*toggle*</v>
      </c>
      <c r="R730" s="43">
        <v>1</v>
      </c>
      <c r="S730" s="43">
        <f t="shared" si="53"/>
        <v>2.95</v>
      </c>
      <c r="T730" s="43">
        <f t="shared" si="54"/>
        <v>1</v>
      </c>
    </row>
    <row r="731" spans="7:20">
      <c r="G731" s="62" cm="1">
        <f t="array" ref="G731">INDEX($D:$D, MATCH(1, (H731 &gt;= $B:$B) * (H731 &lt;= $C:$C), 0))</f>
        <v>14</v>
      </c>
      <c r="H731" s="28">
        <v>46129</v>
      </c>
      <c r="I731" s="29" t="s">
        <v>26</v>
      </c>
      <c r="J731" s="29">
        <v>4</v>
      </c>
      <c r="K731" s="30" t="s">
        <v>443</v>
      </c>
      <c r="M731" s="43" t="str">
        <v>firefly</v>
      </c>
      <c r="N731" s="43" t="str">
        <f t="shared" si="51"/>
        <v>*firef*</v>
      </c>
      <c r="O731" s="43" t="str">
        <v>*tweaked*</v>
      </c>
      <c r="P731" s="43">
        <f t="shared" si="52"/>
        <v>1</v>
      </c>
      <c r="Q731" s="43" t="str">
        <v>*valves*</v>
      </c>
      <c r="R731" s="43">
        <v>1</v>
      </c>
      <c r="S731" s="43">
        <f t="shared" si="53"/>
        <v>2.95</v>
      </c>
      <c r="T731" s="43">
        <f t="shared" si="54"/>
        <v>1</v>
      </c>
    </row>
    <row r="732" spans="7:20">
      <c r="G732" s="62" cm="1">
        <f t="array" ref="G732">INDEX($D:$D, MATCH(1, (H732 &gt;= $B:$B) * (H732 &lt;= $C:$C), 0))</f>
        <v>14</v>
      </c>
      <c r="H732" s="28">
        <v>46129</v>
      </c>
      <c r="I732" s="29" t="s">
        <v>78</v>
      </c>
      <c r="J732" s="29">
        <v>4</v>
      </c>
      <c r="K732" s="30" t="s">
        <v>443</v>
      </c>
      <c r="M732" s="43" t="str">
        <v>particles,</v>
      </c>
      <c r="N732" s="43" t="str">
        <f t="shared" si="51"/>
        <v>*particles*</v>
      </c>
      <c r="O732" s="43" t="str">
        <v>*box*</v>
      </c>
      <c r="P732" s="43">
        <f t="shared" si="52"/>
        <v>1</v>
      </c>
      <c r="Q732" s="43" t="str">
        <v>*handl*</v>
      </c>
      <c r="R732" s="43">
        <v>1</v>
      </c>
      <c r="S732" s="43">
        <f t="shared" si="53"/>
        <v>2.95</v>
      </c>
      <c r="T732" s="43">
        <f t="shared" si="54"/>
        <v>1</v>
      </c>
    </row>
    <row r="733" spans="7:20">
      <c r="G733" s="62" cm="1">
        <f t="array" ref="G733">INDEX($D:$D, MATCH(1, (H733 &gt;= $B:$B) * (H733 &lt;= $C:$C), 0))</f>
        <v>14</v>
      </c>
      <c r="H733" s="28">
        <v>46129</v>
      </c>
      <c r="I733" s="29" t="s">
        <v>24</v>
      </c>
      <c r="J733" s="29">
        <v>4</v>
      </c>
      <c r="K733" s="30" t="s">
        <v>443</v>
      </c>
      <c r="M733" s="43" t="str">
        <v>bp</v>
      </c>
      <c r="N733" s="43" t="str">
        <f t="shared" si="51"/>
        <v>*bp*</v>
      </c>
      <c r="O733" s="43" t="str">
        <v>*buffer*</v>
      </c>
      <c r="P733" s="43">
        <f t="shared" si="52"/>
        <v>1</v>
      </c>
      <c r="Q733" s="43" t="str">
        <v>*sessions*</v>
      </c>
      <c r="R733" s="43">
        <v>1</v>
      </c>
      <c r="S733" s="43">
        <f t="shared" si="53"/>
        <v>2.95</v>
      </c>
      <c r="T733" s="43">
        <f t="shared" si="54"/>
        <v>1</v>
      </c>
    </row>
    <row r="734" spans="7:20" ht="30">
      <c r="G734" s="62" cm="1">
        <f t="array" ref="G734">INDEX($D:$D, MATCH(1, (H734 &gt;= $B:$B) * (H734 &lt;= $C:$C), 0))</f>
        <v>14</v>
      </c>
      <c r="H734" s="28">
        <v>46130</v>
      </c>
      <c r="I734" s="29" t="s">
        <v>16</v>
      </c>
      <c r="J734" s="29">
        <v>2</v>
      </c>
      <c r="K734" s="30" t="s">
        <v>444</v>
      </c>
      <c r="M734" s="43" t="str">
        <v>nighttime</v>
      </c>
      <c r="N734" s="43" t="str">
        <f t="shared" si="51"/>
        <v>*nighttime*</v>
      </c>
      <c r="O734" s="43" t="str">
        <v>*beginn*</v>
      </c>
      <c r="P734" s="43">
        <f t="shared" si="52"/>
        <v>1</v>
      </c>
      <c r="Q734" s="43" t="str">
        <v>*6*</v>
      </c>
      <c r="R734" s="43">
        <v>1</v>
      </c>
      <c r="S734" s="43">
        <f t="shared" si="53"/>
        <v>2.95</v>
      </c>
      <c r="T734" s="43">
        <f t="shared" si="54"/>
        <v>1</v>
      </c>
    </row>
    <row r="735" spans="7:20" ht="30">
      <c r="G735" s="62" cm="1">
        <f t="array" ref="G735">INDEX($D:$D, MATCH(1, (H735 &gt;= $B:$B) * (H735 &lt;= $C:$C), 0))</f>
        <v>14</v>
      </c>
      <c r="H735" s="28">
        <v>46131</v>
      </c>
      <c r="I735" s="29" t="s">
        <v>16</v>
      </c>
      <c r="J735" s="29">
        <v>4</v>
      </c>
      <c r="K735" s="30" t="s">
        <v>445</v>
      </c>
      <c r="M735" s="43" t="str">
        <v>variables</v>
      </c>
      <c r="N735" s="43" t="str">
        <f t="shared" si="51"/>
        <v>*varis*</v>
      </c>
      <c r="O735" s="43" t="str">
        <v>*requirements*</v>
      </c>
      <c r="P735" s="43">
        <f t="shared" si="52"/>
        <v>1</v>
      </c>
      <c r="Q735" s="43" t="str">
        <v>*7*</v>
      </c>
      <c r="R735" s="43">
        <v>1</v>
      </c>
      <c r="S735" s="43">
        <f t="shared" si="53"/>
        <v>2.95</v>
      </c>
      <c r="T735" s="43">
        <f t="shared" si="54"/>
        <v>1</v>
      </c>
    </row>
    <row r="736" spans="7:20">
      <c r="G736" s="62" cm="1">
        <f t="array" ref="G736">INDEX($D:$D, MATCH(1, (H736 &gt;= $B:$B) * (H736 &lt;= $C:$C), 0))</f>
        <v>14</v>
      </c>
      <c r="H736" s="28">
        <v>46131</v>
      </c>
      <c r="I736" s="29" t="s">
        <v>26</v>
      </c>
      <c r="J736" s="29">
        <v>5</v>
      </c>
      <c r="K736" s="30" t="s">
        <v>446</v>
      </c>
      <c r="M736" s="43" t="str">
        <v>ColorMechanicPPV</v>
      </c>
      <c r="N736" s="43" t="str">
        <f t="shared" si="51"/>
        <v>*colormechanicppv*</v>
      </c>
      <c r="O736" s="43" t="str">
        <v>*guest*</v>
      </c>
      <c r="P736" s="43">
        <f t="shared" si="52"/>
        <v>4</v>
      </c>
      <c r="Q736" s="43" t="str">
        <v>*look*</v>
      </c>
      <c r="R736" s="43">
        <v>1</v>
      </c>
      <c r="S736" s="43">
        <f t="shared" si="53"/>
        <v>2.95</v>
      </c>
      <c r="T736" s="43">
        <f t="shared" si="54"/>
        <v>1</v>
      </c>
    </row>
    <row r="737" spans="7:20">
      <c r="G737" s="62" cm="1">
        <f t="array" ref="G737">INDEX($D:$D, MATCH(1, (H737 &gt;= $B:$B) * (H737 &lt;= $C:$C), 0))</f>
        <v>14</v>
      </c>
      <c r="H737" s="28">
        <v>46131</v>
      </c>
      <c r="I737" s="29" t="s">
        <v>24</v>
      </c>
      <c r="J737" s="29">
        <v>3</v>
      </c>
      <c r="K737" s="30" t="s">
        <v>447</v>
      </c>
      <c r="M737" s="43" t="str">
        <v>visibility,</v>
      </c>
      <c r="N737" s="43" t="str">
        <f t="shared" si="51"/>
        <v>*visibil*</v>
      </c>
      <c r="O737" s="43" t="str">
        <v>*movement*</v>
      </c>
      <c r="P737" s="43">
        <f t="shared" si="52"/>
        <v>1</v>
      </c>
      <c r="Q737" s="43" t="str">
        <v>*p4ignore*</v>
      </c>
      <c r="R737" s="43">
        <v>1</v>
      </c>
      <c r="S737" s="43">
        <f t="shared" si="53"/>
        <v>2.95</v>
      </c>
      <c r="T737" s="43">
        <f t="shared" si="54"/>
        <v>1</v>
      </c>
    </row>
    <row r="738" spans="7:20">
      <c r="G738" s="62" cm="1">
        <f t="array" ref="G738">INDEX($D:$D, MATCH(1, (H738 &gt;= $B:$B) * (H738 &lt;= $C:$C), 0))</f>
        <v>14</v>
      </c>
      <c r="H738" s="28">
        <v>46131</v>
      </c>
      <c r="I738" s="29" t="s">
        <v>24</v>
      </c>
      <c r="J738" s="29">
        <v>0.5</v>
      </c>
      <c r="K738" s="30" t="s">
        <v>448</v>
      </c>
      <c r="M738" s="43" t="str">
        <v>gathered</v>
      </c>
      <c r="N738" s="43" t="str">
        <f t="shared" si="51"/>
        <v>*gathered*</v>
      </c>
      <c r="O738" s="43" t="str">
        <v>*dynamic*</v>
      </c>
      <c r="P738" s="43">
        <f t="shared" si="52"/>
        <v>2</v>
      </c>
      <c r="Q738" s="43" t="str">
        <v>*couple*</v>
      </c>
      <c r="R738" s="43">
        <v>1</v>
      </c>
      <c r="S738" s="43">
        <f t="shared" si="53"/>
        <v>2.95</v>
      </c>
      <c r="T738" s="43">
        <f t="shared" si="54"/>
        <v>1</v>
      </c>
    </row>
    <row r="739" spans="7:20">
      <c r="G739" s="62" cm="1">
        <f t="array" ref="G739">INDEX($D:$D, MATCH(1, (H739 &gt;= $B:$B) * (H739 &lt;= $C:$C), 0))</f>
        <v>14</v>
      </c>
      <c r="H739" s="28">
        <v>46131</v>
      </c>
      <c r="I739" s="29" t="s">
        <v>24</v>
      </c>
      <c r="J739" s="29">
        <v>1</v>
      </c>
      <c r="K739" s="30" t="s">
        <v>449</v>
      </c>
      <c r="M739" s="43" t="str">
        <v>shoreline</v>
      </c>
      <c r="N739" s="43" t="str">
        <f t="shared" si="51"/>
        <v>*shoreline*</v>
      </c>
      <c r="O739" s="43" t="str">
        <v>*prompts*</v>
      </c>
      <c r="P739" s="43">
        <f t="shared" si="52"/>
        <v>1</v>
      </c>
      <c r="Q739" s="43" t="str">
        <v>*prototype*</v>
      </c>
      <c r="R739" s="43">
        <v>1</v>
      </c>
      <c r="S739" s="43">
        <f t="shared" si="53"/>
        <v>2.95</v>
      </c>
      <c r="T739" s="43">
        <f t="shared" si="54"/>
        <v>1</v>
      </c>
    </row>
    <row r="740" spans="7:20" ht="30">
      <c r="G740" s="62" cm="1">
        <f t="array" ref="G740">INDEX($D:$D, MATCH(1, (H740 &gt;= $B:$B) * (H740 &lt;= $C:$C), 0))</f>
        <v>14</v>
      </c>
      <c r="H740" s="28">
        <v>46131</v>
      </c>
      <c r="I740" s="29" t="s">
        <v>24</v>
      </c>
      <c r="J740" s="29">
        <v>1</v>
      </c>
      <c r="K740" s="30" t="s">
        <v>450</v>
      </c>
      <c r="M740" s="43" t="str">
        <v>beach</v>
      </c>
      <c r="N740" s="43" t="str">
        <f t="shared" si="51"/>
        <v>*beach*</v>
      </c>
      <c r="O740" s="43" t="str">
        <v>*shape*</v>
      </c>
      <c r="P740" s="43">
        <f t="shared" si="52"/>
        <v>1</v>
      </c>
      <c r="Q740" s="43" t="str">
        <v>*clos*</v>
      </c>
      <c r="R740" s="43">
        <v>1</v>
      </c>
      <c r="S740" s="43">
        <f t="shared" si="53"/>
        <v>2.95</v>
      </c>
      <c r="T740" s="43">
        <f t="shared" si="54"/>
        <v>1</v>
      </c>
    </row>
    <row r="741" spans="7:20">
      <c r="G741" s="62" cm="1">
        <f t="array" ref="G741">INDEX($D:$D, MATCH(1, (H741 &gt;= $B:$B) * (H741 &lt;= $C:$C), 0))</f>
        <v>14</v>
      </c>
      <c r="H741" s="28">
        <v>46132</v>
      </c>
      <c r="I741" s="29" t="s">
        <v>78</v>
      </c>
      <c r="J741" s="29">
        <v>2</v>
      </c>
      <c r="K741" s="30" t="s">
        <v>451</v>
      </c>
      <c r="M741" s="43" t="str">
        <v>marsh</v>
      </c>
      <c r="N741" s="43" t="str">
        <f t="shared" si="51"/>
        <v>*marsh*</v>
      </c>
      <c r="O741" s="43" t="str">
        <v>*popul*</v>
      </c>
      <c r="P741" s="43">
        <f t="shared" si="52"/>
        <v>1</v>
      </c>
      <c r="Q741" s="43" t="str">
        <v>*dynamical*</v>
      </c>
      <c r="R741" s="43">
        <v>1</v>
      </c>
      <c r="S741" s="43">
        <f t="shared" si="53"/>
        <v>2.95</v>
      </c>
      <c r="T741" s="43">
        <f t="shared" si="54"/>
        <v>1</v>
      </c>
    </row>
    <row r="742" spans="7:20" ht="30">
      <c r="G742" s="62" cm="1">
        <f t="array" ref="G742">INDEX($D:$D, MATCH(1, (H742 &gt;= $B:$B) * (H742 &lt;= $C:$C), 0))</f>
        <v>14</v>
      </c>
      <c r="H742" s="28">
        <v>46132</v>
      </c>
      <c r="I742" s="29" t="s">
        <v>34</v>
      </c>
      <c r="J742" s="29">
        <v>3.5</v>
      </c>
      <c r="K742" s="30" t="s">
        <v>452</v>
      </c>
      <c r="M742" s="43" t="str">
        <v>Fade</v>
      </c>
      <c r="N742" s="43" t="str">
        <f t="shared" si="51"/>
        <v>*fade*</v>
      </c>
      <c r="O742" s="43" t="str">
        <v>*json*</v>
      </c>
      <c r="P742" s="43">
        <f t="shared" si="52"/>
        <v>1</v>
      </c>
      <c r="Q742" s="43" t="str">
        <v>*presett*</v>
      </c>
      <c r="R742" s="43">
        <v>1</v>
      </c>
      <c r="S742" s="43">
        <f t="shared" si="53"/>
        <v>2.95</v>
      </c>
      <c r="T742" s="43">
        <f t="shared" si="54"/>
        <v>1</v>
      </c>
    </row>
    <row r="743" spans="7:20">
      <c r="G743" s="62" cm="1">
        <f t="array" ref="G743">INDEX($D:$D, MATCH(1, (H743 &gt;= $B:$B) * (H743 &lt;= $C:$C), 0))</f>
        <v>14</v>
      </c>
      <c r="H743" s="28">
        <v>46132</v>
      </c>
      <c r="I743" s="29" t="s">
        <v>24</v>
      </c>
      <c r="J743" s="29">
        <v>3</v>
      </c>
      <c r="K743" s="30" t="s">
        <v>453</v>
      </c>
      <c r="M743" s="43" t="str">
        <v>black</v>
      </c>
      <c r="N743" s="43" t="str">
        <f t="shared" si="51"/>
        <v>*black*</v>
      </c>
      <c r="O743" s="43" t="str">
        <v>*data*</v>
      </c>
      <c r="P743" s="43">
        <f t="shared" si="52"/>
        <v>1</v>
      </c>
      <c r="Q743" s="43" t="str">
        <v>*random*</v>
      </c>
      <c r="R743" s="43">
        <v>1</v>
      </c>
      <c r="S743" s="43">
        <f t="shared" si="53"/>
        <v>2.95</v>
      </c>
      <c r="T743" s="43">
        <f t="shared" si="54"/>
        <v>1</v>
      </c>
    </row>
    <row r="744" spans="7:20">
      <c r="G744" s="62" cm="1">
        <f t="array" ref="G744">INDEX($D:$D, MATCH(1, (H744 &gt;= $B:$B) * (H744 &lt;= $C:$C), 0))</f>
        <v>14</v>
      </c>
      <c r="H744" s="28">
        <v>46132</v>
      </c>
      <c r="I744" s="29" t="s">
        <v>24</v>
      </c>
      <c r="J744" s="29">
        <v>1</v>
      </c>
      <c r="K744" s="30" t="s">
        <v>454</v>
      </c>
      <c r="M744" s="43" t="str">
        <v>fall</v>
      </c>
      <c r="N744" s="43" t="str">
        <f t="shared" si="51"/>
        <v>*fall*</v>
      </c>
      <c r="O744" s="43" t="str">
        <v>*packaged*</v>
      </c>
      <c r="P744" s="43">
        <f t="shared" si="52"/>
        <v>3</v>
      </c>
      <c r="Q744" s="43" t="str">
        <v>*tweaked*</v>
      </c>
      <c r="R744" s="43">
        <v>1</v>
      </c>
      <c r="S744" s="43">
        <f t="shared" si="53"/>
        <v>2.95</v>
      </c>
      <c r="T744" s="43">
        <f t="shared" si="54"/>
        <v>1</v>
      </c>
    </row>
    <row r="745" spans="7:20">
      <c r="G745" s="62" cm="1">
        <f t="array" ref="G745">INDEX($D:$D, MATCH(1, (H745 &gt;= $B:$B) * (H745 &lt;= $C:$C), 0))</f>
        <v>14</v>
      </c>
      <c r="H745" s="28">
        <v>46132</v>
      </c>
      <c r="I745" s="29" t="s">
        <v>24</v>
      </c>
      <c r="J745" s="29">
        <v>3.75</v>
      </c>
      <c r="K745" s="30" t="s">
        <v>455</v>
      </c>
      <c r="M745" s="43" t="str">
        <v>challenge,</v>
      </c>
      <c r="N745" s="43" t="str">
        <f t="shared" si="51"/>
        <v>*challenge*</v>
      </c>
      <c r="O745" s="43" t="str">
        <v>*investig*</v>
      </c>
      <c r="P745" s="43">
        <f t="shared" si="52"/>
        <v>2</v>
      </c>
      <c r="Q745" s="43" t="str">
        <v>*box*</v>
      </c>
      <c r="R745" s="43">
        <v>1</v>
      </c>
      <c r="S745" s="43">
        <f t="shared" si="53"/>
        <v>2.95</v>
      </c>
      <c r="T745" s="43">
        <f t="shared" si="54"/>
        <v>1</v>
      </c>
    </row>
    <row r="746" spans="7:20">
      <c r="G746" s="62" cm="1">
        <f t="array" ref="G746">INDEX($D:$D, MATCH(1, (H746 &gt;= $B:$B) * (H746 &lt;= $C:$C), 0))</f>
        <v>14</v>
      </c>
      <c r="H746" s="28">
        <v>46132</v>
      </c>
      <c r="I746" s="29" t="s">
        <v>16</v>
      </c>
      <c r="J746" s="29">
        <v>1</v>
      </c>
      <c r="K746" s="30" t="s">
        <v>271</v>
      </c>
      <c r="M746" s="43" t="str">
        <v>function</v>
      </c>
      <c r="N746" s="43" t="str">
        <f t="shared" si="51"/>
        <v>*func*</v>
      </c>
      <c r="O746" s="43" t="str">
        <v>*familiar*</v>
      </c>
      <c r="P746" s="43">
        <f t="shared" si="52"/>
        <v>1</v>
      </c>
      <c r="Q746" s="43" t="str">
        <v>*buffer*</v>
      </c>
      <c r="R746" s="43">
        <v>1</v>
      </c>
      <c r="S746" s="43">
        <f t="shared" si="53"/>
        <v>2.95</v>
      </c>
      <c r="T746" s="43">
        <f t="shared" si="54"/>
        <v>1</v>
      </c>
    </row>
    <row r="747" spans="7:20">
      <c r="G747" s="62" cm="1">
        <f t="array" ref="G747">INDEX($D:$D, MATCH(1, (H747 &gt;= $B:$B) * (H747 &lt;= $C:$C), 0))</f>
        <v>14</v>
      </c>
      <c r="H747" s="28">
        <v>46132</v>
      </c>
      <c r="I747" s="29" t="s">
        <v>28</v>
      </c>
      <c r="J747" s="29">
        <v>1</v>
      </c>
      <c r="K747" s="30" t="s">
        <v>271</v>
      </c>
      <c r="M747" s="43" t="str">
        <v>Improve</v>
      </c>
      <c r="N747" s="43" t="str">
        <f t="shared" si="51"/>
        <v>*improve*</v>
      </c>
      <c r="O747" s="43" t="str">
        <v>*bind*</v>
      </c>
      <c r="P747" s="43">
        <f t="shared" si="52"/>
        <v>4</v>
      </c>
      <c r="Q747" s="43" t="str">
        <v>*beginn*</v>
      </c>
      <c r="R747" s="43">
        <v>1</v>
      </c>
      <c r="S747" s="43">
        <f t="shared" si="53"/>
        <v>2.95</v>
      </c>
      <c r="T747" s="43">
        <f t="shared" si="54"/>
        <v>1</v>
      </c>
    </row>
    <row r="748" spans="7:20">
      <c r="G748" s="62" cm="1">
        <f t="array" ref="G748">INDEX($D:$D, MATCH(1, (H748 &gt;= $B:$B) * (H748 &lt;= $C:$C), 0))</f>
        <v>14</v>
      </c>
      <c r="H748" s="28">
        <v>46132</v>
      </c>
      <c r="I748" s="29" t="s">
        <v>78</v>
      </c>
      <c r="J748" s="29">
        <v>1</v>
      </c>
      <c r="K748" s="30" t="s">
        <v>271</v>
      </c>
      <c r="M748" s="43" t="str">
        <v>visuals</v>
      </c>
      <c r="N748" s="43" t="str">
        <f t="shared" si="51"/>
        <v>*visuals*</v>
      </c>
      <c r="O748" s="43" t="str">
        <v>*editor*</v>
      </c>
      <c r="P748" s="43">
        <f t="shared" si="52"/>
        <v>1</v>
      </c>
      <c r="Q748" s="43" t="str">
        <v>*requirements*</v>
      </c>
      <c r="R748" s="43">
        <v>1</v>
      </c>
      <c r="S748" s="43">
        <f t="shared" si="53"/>
        <v>2.95</v>
      </c>
      <c r="T748" s="43">
        <f t="shared" si="54"/>
        <v>1</v>
      </c>
    </row>
    <row r="749" spans="7:20">
      <c r="G749" s="62" cm="1">
        <f t="array" ref="G749">INDEX($D:$D, MATCH(1, (H749 &gt;= $B:$B) * (H749 &lt;= $C:$C), 0))</f>
        <v>14</v>
      </c>
      <c r="H749" s="28">
        <v>46132</v>
      </c>
      <c r="I749" s="29" t="s">
        <v>26</v>
      </c>
      <c r="J749" s="29">
        <v>1</v>
      </c>
      <c r="K749" s="30" t="s">
        <v>271</v>
      </c>
      <c r="M749" s="43" t="str">
        <v>small</v>
      </c>
      <c r="N749" s="43" t="str">
        <f t="shared" si="51"/>
        <v>*small*</v>
      </c>
      <c r="O749" s="43" t="str">
        <v>*solo*</v>
      </c>
      <c r="P749" s="43">
        <f t="shared" si="52"/>
        <v>1</v>
      </c>
      <c r="Q749" s="43" t="str">
        <v>*movement*</v>
      </c>
      <c r="R749" s="43">
        <v>1</v>
      </c>
      <c r="S749" s="43">
        <f t="shared" si="53"/>
        <v>2.95</v>
      </c>
      <c r="T749" s="43">
        <f t="shared" si="54"/>
        <v>1</v>
      </c>
    </row>
    <row r="750" spans="7:20">
      <c r="G750" s="62" cm="1">
        <f t="array" ref="G750">INDEX($D:$D, MATCH(1, (H750 &gt;= $B:$B) * (H750 &lt;= $C:$C), 0))</f>
        <v>14</v>
      </c>
      <c r="H750" s="28">
        <v>46132</v>
      </c>
      <c r="I750" s="29" t="s">
        <v>34</v>
      </c>
      <c r="J750" s="29">
        <v>1</v>
      </c>
      <c r="K750" s="30" t="s">
        <v>271</v>
      </c>
      <c r="M750" s="43" t="str">
        <v>cleanups,</v>
      </c>
      <c r="N750" s="43" t="str">
        <f t="shared" si="51"/>
        <v>*cleanups*</v>
      </c>
      <c r="O750" s="43" t="str">
        <v>*then*</v>
      </c>
      <c r="P750" s="43">
        <f t="shared" si="52"/>
        <v>1</v>
      </c>
      <c r="Q750" s="43" t="str">
        <v>*prompts*</v>
      </c>
      <c r="R750" s="43">
        <v>1</v>
      </c>
      <c r="S750" s="43">
        <f t="shared" si="53"/>
        <v>2.95</v>
      </c>
      <c r="T750" s="43">
        <f t="shared" si="54"/>
        <v>1</v>
      </c>
    </row>
    <row r="751" spans="7:20">
      <c r="G751" s="62" cm="1">
        <f t="array" ref="G751">INDEX($D:$D, MATCH(1, (H751 &gt;= $B:$B) * (H751 &lt;= $C:$C), 0))</f>
        <v>14</v>
      </c>
      <c r="H751" s="28">
        <v>46132</v>
      </c>
      <c r="I751" s="29" t="s">
        <v>24</v>
      </c>
      <c r="J751" s="29">
        <v>1</v>
      </c>
      <c r="K751" s="30" t="s">
        <v>271</v>
      </c>
      <c r="M751" s="43" t="str">
        <v>cool</v>
      </c>
      <c r="N751" s="43" t="str">
        <f t="shared" si="51"/>
        <v>*cool*</v>
      </c>
      <c r="O751" s="43" t="str">
        <v>*partial*</v>
      </c>
      <c r="P751" s="43">
        <f t="shared" si="52"/>
        <v>1</v>
      </c>
      <c r="Q751" s="43" t="str">
        <v>*shape*</v>
      </c>
      <c r="R751" s="43">
        <v>1</v>
      </c>
      <c r="S751" s="43">
        <f t="shared" si="53"/>
        <v>2.95</v>
      </c>
      <c r="T751" s="43">
        <f t="shared" si="54"/>
        <v>1</v>
      </c>
    </row>
    <row r="752" spans="7:20">
      <c r="G752" s="62" cm="1">
        <f t="array" ref="G752">INDEX($D:$D, MATCH(1, (H752 &gt;= $B:$B) * (H752 &lt;= $C:$C), 0))</f>
        <v>14</v>
      </c>
      <c r="H752" s="28">
        <v>46132</v>
      </c>
      <c r="I752" s="29" t="s">
        <v>78</v>
      </c>
      <c r="J752" s="29">
        <v>0.5</v>
      </c>
      <c r="K752" s="30" t="s">
        <v>456</v>
      </c>
      <c r="M752" s="43" t="str">
        <v>central</v>
      </c>
      <c r="N752" s="43" t="str">
        <f t="shared" si="51"/>
        <v>*central*</v>
      </c>
      <c r="O752" s="43" t="str">
        <v>*failed*</v>
      </c>
      <c r="P752" s="43">
        <f t="shared" si="52"/>
        <v>1</v>
      </c>
      <c r="Q752" s="43" t="str">
        <v>*popul*</v>
      </c>
      <c r="R752" s="43">
        <v>1</v>
      </c>
      <c r="S752" s="43">
        <f t="shared" si="53"/>
        <v>2.95</v>
      </c>
      <c r="T752" s="43">
        <f t="shared" si="54"/>
        <v>1</v>
      </c>
    </row>
    <row r="753" spans="7:20" ht="30">
      <c r="G753" s="62" cm="1">
        <f t="array" ref="G753">INDEX($D:$D, MATCH(1, (H753 &gt;= $B:$B) * (H753 &lt;= $C:$C), 0))</f>
        <v>14</v>
      </c>
      <c r="H753" s="28">
        <v>46132</v>
      </c>
      <c r="I753" s="29" t="s">
        <v>16</v>
      </c>
      <c r="J753" s="29">
        <v>2</v>
      </c>
      <c r="K753" s="30" t="s">
        <v>457</v>
      </c>
      <c r="M753" s="43" t="str">
        <v>temple</v>
      </c>
      <c r="N753" s="43" t="str">
        <f t="shared" si="51"/>
        <v>*temple*</v>
      </c>
      <c r="O753" s="43" t="str">
        <v>*ths*</v>
      </c>
      <c r="P753" s="43">
        <f t="shared" si="52"/>
        <v>3</v>
      </c>
      <c r="Q753" s="43" t="str">
        <v>*json*</v>
      </c>
      <c r="R753" s="43">
        <v>1</v>
      </c>
      <c r="S753" s="43">
        <f t="shared" si="53"/>
        <v>2.95</v>
      </c>
      <c r="T753" s="43">
        <f t="shared" si="54"/>
        <v>1</v>
      </c>
    </row>
    <row r="754" spans="7:20">
      <c r="G754" s="62" cm="1">
        <f t="array" ref="G754">INDEX($D:$D, MATCH(1, (H754 &gt;= $B:$B) * (H754 &lt;= $C:$C), 0))</f>
        <v>14</v>
      </c>
      <c r="H754" s="28">
        <v>46132</v>
      </c>
      <c r="I754" s="29" t="s">
        <v>26</v>
      </c>
      <c r="J754" s="29">
        <v>3</v>
      </c>
      <c r="K754" s="30" t="s">
        <v>458</v>
      </c>
      <c r="M754" s="43" t="str">
        <v>improvements</v>
      </c>
      <c r="N754" s="43" t="str">
        <f t="shared" si="51"/>
        <v>*improvements*</v>
      </c>
      <c r="O754" s="43" t="str">
        <v>*optimiz*</v>
      </c>
      <c r="P754" s="43">
        <f t="shared" si="52"/>
        <v>3</v>
      </c>
      <c r="Q754" s="43" t="str">
        <v>*data*</v>
      </c>
      <c r="R754" s="43">
        <v>1</v>
      </c>
      <c r="S754" s="43">
        <f t="shared" si="53"/>
        <v>2.95</v>
      </c>
      <c r="T754" s="43">
        <f t="shared" si="54"/>
        <v>1</v>
      </c>
    </row>
    <row r="755" spans="7:20">
      <c r="G755" s="62" cm="1">
        <f t="array" ref="G755">INDEX($D:$D, MATCH(1, (H755 &gt;= $B:$B) * (H755 &lt;= $C:$C), 0))</f>
        <v>14</v>
      </c>
      <c r="H755" s="28">
        <v>46132</v>
      </c>
      <c r="I755" s="29" t="s">
        <v>26</v>
      </c>
      <c r="J755" s="29">
        <v>1.5</v>
      </c>
      <c r="K755" s="30" t="s">
        <v>211</v>
      </c>
      <c r="M755" s="43" t="str">
        <v>midterm,</v>
      </c>
      <c r="N755" s="43" t="str">
        <f t="shared" si="51"/>
        <v>*midterm*</v>
      </c>
      <c r="O755" s="43" t="str">
        <v>*signs*</v>
      </c>
      <c r="P755" s="43">
        <f t="shared" si="52"/>
        <v>1</v>
      </c>
      <c r="Q755" s="43" t="str">
        <v>*familiar*</v>
      </c>
      <c r="R755" s="43">
        <v>1</v>
      </c>
      <c r="S755" s="43">
        <f t="shared" si="53"/>
        <v>2.95</v>
      </c>
      <c r="T755" s="43">
        <f t="shared" si="54"/>
        <v>1</v>
      </c>
    </row>
    <row r="756" spans="7:20">
      <c r="G756" s="62" cm="1">
        <f t="array" ref="G756">INDEX($D:$D, MATCH(1, (H756 &gt;= $B:$B) * (H756 &lt;= $C:$C), 0))</f>
        <v>14</v>
      </c>
      <c r="H756" s="28">
        <v>46132</v>
      </c>
      <c r="I756" s="29" t="s">
        <v>28</v>
      </c>
      <c r="J756" s="29">
        <v>1.5</v>
      </c>
      <c r="K756" s="30" t="s">
        <v>211</v>
      </c>
      <c r="M756" s="43" t="str">
        <v>webbed</v>
      </c>
      <c r="N756" s="43" t="str">
        <f t="shared" si="51"/>
        <v>*webbed*</v>
      </c>
      <c r="O756" s="43" t="str">
        <v>*dialogue*</v>
      </c>
      <c r="P756" s="43">
        <f t="shared" si="52"/>
        <v>4</v>
      </c>
      <c r="Q756" s="43" t="str">
        <v>*editor*</v>
      </c>
      <c r="R756" s="43">
        <v>1</v>
      </c>
      <c r="S756" s="43">
        <f t="shared" si="53"/>
        <v>2.95</v>
      </c>
      <c r="T756" s="43">
        <f t="shared" si="54"/>
        <v>1</v>
      </c>
    </row>
    <row r="757" spans="7:20">
      <c r="G757" s="62" cm="1">
        <f t="array" ref="G757">INDEX($D:$D, MATCH(1, (H757 &gt;= $B:$B) * (H757 &lt;= $C:$C), 0))</f>
        <v>14</v>
      </c>
      <c r="H757" s="28">
        <v>46132</v>
      </c>
      <c r="I757" s="29" t="s">
        <v>16</v>
      </c>
      <c r="J757" s="29">
        <v>1.5</v>
      </c>
      <c r="K757" s="30" t="s">
        <v>211</v>
      </c>
      <c r="M757" s="43" t="str">
        <v>site,</v>
      </c>
      <c r="N757" s="43" t="str">
        <f t="shared" si="51"/>
        <v>*site*</v>
      </c>
      <c r="O757" s="43" t="str">
        <v>*widgets*</v>
      </c>
      <c r="P757" s="43">
        <f t="shared" si="52"/>
        <v>1</v>
      </c>
      <c r="Q757" s="43" t="str">
        <v>*solo*</v>
      </c>
      <c r="R757" s="43">
        <v>1</v>
      </c>
      <c r="S757" s="43">
        <f t="shared" si="53"/>
        <v>2.95</v>
      </c>
      <c r="T757" s="43">
        <f t="shared" si="54"/>
        <v>1</v>
      </c>
    </row>
    <row r="758" spans="7:20">
      <c r="G758" s="62" cm="1">
        <f t="array" ref="G758">INDEX($D:$D, MATCH(1, (H758 &gt;= $B:$B) * (H758 &lt;= $C:$C), 0))</f>
        <v>14</v>
      </c>
      <c r="H758" s="28">
        <v>46132</v>
      </c>
      <c r="I758" s="29" t="s">
        <v>78</v>
      </c>
      <c r="J758" s="29">
        <v>1</v>
      </c>
      <c r="K758" s="30" t="s">
        <v>211</v>
      </c>
      <c r="M758" s="43" t="str">
        <v>allow</v>
      </c>
      <c r="N758" s="43" t="str">
        <f t="shared" si="51"/>
        <v>*allow*</v>
      </c>
      <c r="O758" s="43" t="str">
        <v>*package*</v>
      </c>
      <c r="P758" s="43">
        <f t="shared" si="52"/>
        <v>6</v>
      </c>
      <c r="Q758" s="43" t="str">
        <v>*then*</v>
      </c>
      <c r="R758" s="43">
        <v>1</v>
      </c>
      <c r="S758" s="43">
        <f t="shared" si="53"/>
        <v>2.95</v>
      </c>
      <c r="T758" s="43">
        <f t="shared" si="54"/>
        <v>1</v>
      </c>
    </row>
    <row r="759" spans="7:20">
      <c r="G759" s="62" cm="1">
        <f t="array" ref="G759">INDEX($D:$D, MATCH(1, (H759 &gt;= $B:$B) * (H759 &lt;= $C:$C), 0))</f>
        <v>14</v>
      </c>
      <c r="H759" s="28">
        <v>46132</v>
      </c>
      <c r="I759" s="29" t="s">
        <v>34</v>
      </c>
      <c r="J759" s="29">
        <v>1.5</v>
      </c>
      <c r="K759" s="30" t="s">
        <v>211</v>
      </c>
      <c r="M759" s="43" t="str">
        <v>only</v>
      </c>
      <c r="N759" s="43" t="str">
        <f t="shared" si="51"/>
        <v>*on*</v>
      </c>
      <c r="O759" s="43" t="str">
        <v>*programm*</v>
      </c>
      <c r="P759" s="43">
        <f t="shared" si="52"/>
        <v>1</v>
      </c>
      <c r="Q759" s="43" t="str">
        <v>*partial*</v>
      </c>
      <c r="R759" s="43">
        <v>1</v>
      </c>
      <c r="S759" s="43">
        <f t="shared" si="53"/>
        <v>2.95</v>
      </c>
      <c r="T759" s="43">
        <f t="shared" si="54"/>
        <v>1</v>
      </c>
    </row>
    <row r="760" spans="7:20">
      <c r="G760" s="62" cm="1">
        <f t="array" ref="G760">INDEX($D:$D, MATCH(1, (H760 &gt;= $B:$B) * (H760 &lt;= $C:$C), 0))</f>
        <v>14</v>
      </c>
      <c r="H760" s="28">
        <v>46132</v>
      </c>
      <c r="I760" s="29" t="s">
        <v>24</v>
      </c>
      <c r="J760" s="29">
        <v>1.5</v>
      </c>
      <c r="K760" s="30" t="s">
        <v>211</v>
      </c>
      <c r="M760" s="43" t="str">
        <v>required</v>
      </c>
      <c r="N760" s="43" t="str">
        <f t="shared" ref="N760:N823" si="55">_xlfn.CONCAT("*",TRIM(CLEAN(_xlfn.REGEXREPLACE(LOWER($M760),$N$51,""))),"*")</f>
        <v>*required*</v>
      </c>
      <c r="O760" s="43" t="str">
        <v>*sequences*</v>
      </c>
      <c r="P760" s="43">
        <f t="shared" ref="P760:P823" si="56">COUNTIF($K$5:$K$1000,$O760)</f>
        <v>2</v>
      </c>
      <c r="Q760" s="43" t="str">
        <v>*failed*</v>
      </c>
      <c r="R760" s="43">
        <v>1</v>
      </c>
      <c r="S760" s="43">
        <f t="shared" ref="S760:S823" si="57">ROUND(LOG(COUNTA($M$54:$M$1000)/R760,10),2)</f>
        <v>2.95</v>
      </c>
      <c r="T760" s="43">
        <f t="shared" si="54"/>
        <v>1</v>
      </c>
    </row>
    <row r="761" spans="7:20">
      <c r="G761" s="62" cm="1">
        <f t="array" ref="G761">INDEX($D:$D, MATCH(1, (H761 &gt;= $B:$B) * (H761 &lt;= $C:$C), 0))</f>
        <v>14</v>
      </c>
      <c r="H761" s="28">
        <v>46132</v>
      </c>
      <c r="I761" s="29" t="s">
        <v>24</v>
      </c>
      <c r="J761" s="29">
        <v>3.5</v>
      </c>
      <c r="K761" s="30" t="s">
        <v>459</v>
      </c>
      <c r="M761" s="43" t="str">
        <v>number</v>
      </c>
      <c r="N761" s="43" t="str">
        <f t="shared" si="55"/>
        <v>*number*</v>
      </c>
      <c r="O761" s="43" t="str">
        <v>*npcs*</v>
      </c>
      <c r="P761" s="43">
        <f t="shared" si="56"/>
        <v>1</v>
      </c>
      <c r="Q761" s="43" t="str">
        <v>*signs*</v>
      </c>
      <c r="R761" s="43">
        <v>1</v>
      </c>
      <c r="S761" s="43">
        <f t="shared" si="57"/>
        <v>2.95</v>
      </c>
      <c r="T761" s="43">
        <f t="shared" ref="T761:T824" si="58">ROUND($S761/$S760,2)</f>
        <v>1</v>
      </c>
    </row>
    <row r="762" spans="7:20">
      <c r="G762" s="62" cm="1">
        <f t="array" ref="G762">INDEX($D:$D, MATCH(1, (H762 &gt;= $B:$B) * (H762 &lt;= $C:$C), 0))</f>
        <v>14</v>
      </c>
      <c r="H762" s="28">
        <v>46132</v>
      </c>
      <c r="I762" s="29" t="s">
        <v>16</v>
      </c>
      <c r="J762" s="29">
        <v>3.5</v>
      </c>
      <c r="K762" s="30" t="s">
        <v>459</v>
      </c>
      <c r="M762" s="43" t="str">
        <v>collected</v>
      </c>
      <c r="N762" s="43" t="str">
        <f t="shared" si="55"/>
        <v>*collected*</v>
      </c>
      <c r="O762" s="43" t="str">
        <v>*chains*</v>
      </c>
      <c r="P762" s="43">
        <f t="shared" si="56"/>
        <v>1</v>
      </c>
      <c r="Q762" s="43" t="str">
        <v>*widgets*</v>
      </c>
      <c r="R762" s="43">
        <v>1</v>
      </c>
      <c r="S762" s="43">
        <f t="shared" si="57"/>
        <v>2.95</v>
      </c>
      <c r="T762" s="43">
        <f t="shared" si="58"/>
        <v>1</v>
      </c>
    </row>
    <row r="763" spans="7:20">
      <c r="G763" s="62" cm="1">
        <f t="array" ref="G763">INDEX($D:$D, MATCH(1, (H763 &gt;= $B:$B) * (H763 &lt;= $C:$C), 0))</f>
        <v>14</v>
      </c>
      <c r="H763" s="28">
        <v>46133</v>
      </c>
      <c r="I763" s="29" t="s">
        <v>16</v>
      </c>
      <c r="J763" s="29">
        <v>2</v>
      </c>
      <c r="K763" s="30" t="s">
        <v>460</v>
      </c>
      <c r="M763" s="43" t="str">
        <v>view</v>
      </c>
      <c r="N763" s="43" t="str">
        <f t="shared" si="55"/>
        <v>*view*</v>
      </c>
      <c r="O763" s="43" t="str">
        <v>*summit*</v>
      </c>
      <c r="P763" s="43">
        <f t="shared" si="56"/>
        <v>5</v>
      </c>
      <c r="Q763" s="43" t="str">
        <v>*programm*</v>
      </c>
      <c r="R763" s="43">
        <v>1</v>
      </c>
      <c r="S763" s="43">
        <f t="shared" si="57"/>
        <v>2.95</v>
      </c>
      <c r="T763" s="43">
        <f t="shared" si="58"/>
        <v>1</v>
      </c>
    </row>
    <row r="764" spans="7:20" ht="30">
      <c r="G764" s="62" cm="1">
        <f t="array" ref="G764">INDEX($D:$D, MATCH(1, (H764 &gt;= $B:$B) * (H764 &lt;= $C:$C), 0))</f>
        <v>15</v>
      </c>
      <c r="H764" s="28">
        <v>46134</v>
      </c>
      <c r="I764" s="29" t="s">
        <v>78</v>
      </c>
      <c r="J764" s="29">
        <v>3</v>
      </c>
      <c r="K764" s="30" t="s">
        <v>461</v>
      </c>
      <c r="M764" s="43" t="str">
        <v>race</v>
      </c>
      <c r="N764" s="43" t="str">
        <f t="shared" si="55"/>
        <v>*race*</v>
      </c>
      <c r="O764" s="43" t="str">
        <v>*npc*</v>
      </c>
      <c r="P764" s="43">
        <f t="shared" si="56"/>
        <v>2</v>
      </c>
      <c r="Q764" s="43" t="str">
        <v>*npcs*</v>
      </c>
      <c r="R764" s="43">
        <v>1</v>
      </c>
      <c r="S764" s="43">
        <f t="shared" si="57"/>
        <v>2.95</v>
      </c>
      <c r="T764" s="43">
        <f t="shared" si="58"/>
        <v>1</v>
      </c>
    </row>
    <row r="765" spans="7:20">
      <c r="G765" s="62" cm="1">
        <f t="array" ref="G765">INDEX($D:$D, MATCH(1, (H765 &gt;= $B:$B) * (H765 &lt;= $C:$C), 0))</f>
        <v>15</v>
      </c>
      <c r="H765" s="28">
        <v>46134</v>
      </c>
      <c r="I765" s="29" t="s">
        <v>28</v>
      </c>
      <c r="J765" s="29">
        <v>1</v>
      </c>
      <c r="K765" s="30" t="s">
        <v>229</v>
      </c>
      <c r="M765" s="43" t="str">
        <v>write</v>
      </c>
      <c r="N765" s="43" t="str">
        <f t="shared" si="55"/>
        <v>*write*</v>
      </c>
      <c r="O765" s="43" t="str">
        <v>*models*</v>
      </c>
      <c r="P765" s="43">
        <f t="shared" si="56"/>
        <v>2</v>
      </c>
      <c r="Q765" s="43" t="str">
        <v>*chains*</v>
      </c>
      <c r="R765" s="43">
        <v>1</v>
      </c>
      <c r="S765" s="43">
        <f t="shared" si="57"/>
        <v>2.95</v>
      </c>
      <c r="T765" s="43">
        <f t="shared" si="58"/>
        <v>1</v>
      </c>
    </row>
    <row r="766" spans="7:20">
      <c r="G766" s="62" cm="1">
        <f t="array" ref="G766">INDEX($D:$D, MATCH(1, (H766 &gt;= $B:$B) * (H766 &lt;= $C:$C), 0))</f>
        <v>15</v>
      </c>
      <c r="H766" s="28">
        <v>46134</v>
      </c>
      <c r="I766" s="29" t="s">
        <v>78</v>
      </c>
      <c r="J766" s="29">
        <v>1</v>
      </c>
      <c r="K766" s="30" t="s">
        <v>229</v>
      </c>
      <c r="M766" s="43" t="str">
        <v>types</v>
      </c>
      <c r="N766" s="43" t="str">
        <f t="shared" si="55"/>
        <v>*types*</v>
      </c>
      <c r="O766" s="43" t="str">
        <v>*optimiza*</v>
      </c>
      <c r="P766" s="43">
        <f t="shared" si="56"/>
        <v>1</v>
      </c>
      <c r="Q766" s="43" t="str">
        <v>*optimiza*</v>
      </c>
      <c r="R766" s="43">
        <v>1</v>
      </c>
      <c r="S766" s="43">
        <f t="shared" si="57"/>
        <v>2.95</v>
      </c>
      <c r="T766" s="43">
        <f t="shared" si="58"/>
        <v>1</v>
      </c>
    </row>
    <row r="767" spans="7:20">
      <c r="G767" s="62" cm="1">
        <f t="array" ref="G767">INDEX($D:$D, MATCH(1, (H767 &gt;= $B:$B) * (H767 &lt;= $C:$C), 0))</f>
        <v>15</v>
      </c>
      <c r="H767" s="28">
        <v>46134</v>
      </c>
      <c r="I767" s="29" t="s">
        <v>16</v>
      </c>
      <c r="J767" s="29">
        <v>1</v>
      </c>
      <c r="K767" s="30" t="s">
        <v>229</v>
      </c>
      <c r="M767" s="43" t="str">
        <v>completed</v>
      </c>
      <c r="N767" s="43" t="str">
        <f t="shared" si="55"/>
        <v>*completed*</v>
      </c>
      <c r="O767" s="43" t="str">
        <v>*theme*</v>
      </c>
      <c r="P767" s="43">
        <f t="shared" si="56"/>
        <v>1</v>
      </c>
      <c r="Q767" s="43" t="str">
        <v>*theme*</v>
      </c>
      <c r="R767" s="43">
        <v>1</v>
      </c>
      <c r="S767" s="43">
        <f t="shared" si="57"/>
        <v>2.95</v>
      </c>
      <c r="T767" s="43">
        <f t="shared" si="58"/>
        <v>1</v>
      </c>
    </row>
    <row r="768" spans="7:20">
      <c r="G768" s="62" cm="1">
        <f t="array" ref="G768">INDEX($D:$D, MATCH(1, (H768 &gt;= $B:$B) * (H768 &lt;= $C:$C), 0))</f>
        <v>15</v>
      </c>
      <c r="H768" s="28">
        <v>46134</v>
      </c>
      <c r="I768" s="29" t="s">
        <v>34</v>
      </c>
      <c r="J768" s="29">
        <v>1</v>
      </c>
      <c r="K768" s="30" t="s">
        <v>229</v>
      </c>
      <c r="M768" s="43" t="str">
        <v>it,</v>
      </c>
      <c r="N768" s="43" t="str">
        <f t="shared" si="55"/>
        <v>*it*</v>
      </c>
      <c r="O768" s="43" t="str">
        <v>*vram*</v>
      </c>
      <c r="P768" s="43">
        <f t="shared" si="56"/>
        <v>1</v>
      </c>
      <c r="Q768" s="43" t="str">
        <v>*vram*</v>
      </c>
      <c r="R768" s="43">
        <v>1</v>
      </c>
      <c r="S768" s="43">
        <f t="shared" si="57"/>
        <v>2.95</v>
      </c>
      <c r="T768" s="43">
        <f t="shared" si="58"/>
        <v>1</v>
      </c>
    </row>
    <row r="769" spans="7:20">
      <c r="G769" s="62" cm="1">
        <f t="array" ref="G769">INDEX($D:$D, MATCH(1, (H769 &gt;= $B:$B) * (H769 &lt;= $C:$C), 0))</f>
        <v>15</v>
      </c>
      <c r="H769" s="28">
        <v>46134</v>
      </c>
      <c r="I769" s="29" t="s">
        <v>24</v>
      </c>
      <c r="J769" s="29">
        <v>1</v>
      </c>
      <c r="K769" s="30" t="s">
        <v>229</v>
      </c>
      <c r="M769" s="43" t="str">
        <v>effort</v>
      </c>
      <c r="N769" s="43" t="str">
        <f t="shared" si="55"/>
        <v>*effort*</v>
      </c>
      <c r="O769" s="43" t="str">
        <v>*optim*</v>
      </c>
      <c r="P769" s="43">
        <f t="shared" si="56"/>
        <v>3</v>
      </c>
      <c r="Q769" s="43" t="str">
        <v>*hopeful*</v>
      </c>
      <c r="R769" s="43">
        <v>1</v>
      </c>
      <c r="S769" s="43">
        <f t="shared" si="57"/>
        <v>2.95</v>
      </c>
      <c r="T769" s="43">
        <f t="shared" si="58"/>
        <v>1</v>
      </c>
    </row>
    <row r="770" spans="7:20">
      <c r="G770" s="62" cm="1">
        <f t="array" ref="G770">INDEX($D:$D, MATCH(1, (H770 &gt;= $B:$B) * (H770 &lt;= $C:$C), 0))</f>
        <v>15</v>
      </c>
      <c r="H770" s="28">
        <v>46134</v>
      </c>
      <c r="I770" s="29" t="s">
        <v>26</v>
      </c>
      <c r="J770" s="29">
        <v>0.5</v>
      </c>
      <c r="K770" s="30" t="s">
        <v>229</v>
      </c>
      <c r="M770" s="43" t="str">
        <v>log,</v>
      </c>
      <c r="N770" s="43" t="str">
        <f t="shared" si="55"/>
        <v>*log*</v>
      </c>
      <c r="O770" s="43" t="str">
        <v>*hopeful*</v>
      </c>
      <c r="P770" s="43">
        <f t="shared" si="56"/>
        <v>1</v>
      </c>
      <c r="Q770" s="43" t="str">
        <v>*last*</v>
      </c>
      <c r="R770" s="43">
        <v>1</v>
      </c>
      <c r="S770" s="43">
        <f t="shared" si="57"/>
        <v>2.95</v>
      </c>
      <c r="T770" s="43">
        <f t="shared" si="58"/>
        <v>1</v>
      </c>
    </row>
    <row r="771" spans="7:20">
      <c r="G771" s="62" cm="1">
        <f t="array" ref="G771">INDEX($D:$D, MATCH(1, (H771 &gt;= $B:$B) * (H771 &lt;= $C:$C), 0))</f>
        <v>15</v>
      </c>
      <c r="H771" s="28">
        <v>46134</v>
      </c>
      <c r="I771" s="29" t="s">
        <v>16</v>
      </c>
      <c r="J771" s="29">
        <v>1</v>
      </c>
      <c r="K771" s="30" t="s">
        <v>462</v>
      </c>
      <c r="M771" s="43" t="str">
        <v>food</v>
      </c>
      <c r="N771" s="43" t="str">
        <f t="shared" si="55"/>
        <v>*food*</v>
      </c>
      <c r="O771" s="43" t="str">
        <v>*last*</v>
      </c>
      <c r="P771" s="43">
        <f t="shared" si="56"/>
        <v>1</v>
      </c>
      <c r="Q771" s="43" t="str">
        <v>*discuss*</v>
      </c>
      <c r="R771" s="43">
        <v>1</v>
      </c>
      <c r="S771" s="43">
        <f t="shared" si="57"/>
        <v>2.95</v>
      </c>
      <c r="T771" s="43">
        <f t="shared" si="58"/>
        <v>1</v>
      </c>
    </row>
    <row r="772" spans="7:20">
      <c r="G772" s="62" cm="1">
        <f t="array" ref="G772">INDEX($D:$D, MATCH(1, (H772 &gt;= $B:$B) * (H772 &lt;= $C:$C), 0))</f>
        <v>15</v>
      </c>
      <c r="H772" s="28">
        <v>46134</v>
      </c>
      <c r="I772" s="29" t="s">
        <v>78</v>
      </c>
      <c r="J772" s="29">
        <v>2</v>
      </c>
      <c r="K772" s="30" t="s">
        <v>463</v>
      </c>
      <c r="M772" s="43" t="str">
        <v>Poster</v>
      </c>
      <c r="N772" s="43" t="str">
        <f t="shared" si="55"/>
        <v>*poster*</v>
      </c>
      <c r="O772" s="43" t="str">
        <v>*discuss*</v>
      </c>
      <c r="P772" s="43">
        <f t="shared" si="56"/>
        <v>1</v>
      </c>
      <c r="Q772" s="43" t="str">
        <v>*why*</v>
      </c>
      <c r="R772" s="43">
        <v>1</v>
      </c>
      <c r="S772" s="43">
        <f t="shared" si="57"/>
        <v>2.95</v>
      </c>
      <c r="T772" s="43">
        <f t="shared" si="58"/>
        <v>1</v>
      </c>
    </row>
    <row r="773" spans="7:20">
      <c r="G773" s="62" cm="1">
        <f t="array" ref="G773">INDEX($D:$D, MATCH(1, (H773 &gt;= $B:$B) * (H773 &lt;= $C:$C), 0))</f>
        <v>15</v>
      </c>
      <c r="H773" s="28">
        <v>46134</v>
      </c>
      <c r="I773" s="29" t="s">
        <v>16</v>
      </c>
      <c r="J773" s="29">
        <v>1</v>
      </c>
      <c r="K773" s="30" t="s">
        <v>464</v>
      </c>
      <c r="M773" s="43" t="str">
        <v>come</v>
      </c>
      <c r="N773" s="43" t="str">
        <f t="shared" si="55"/>
        <v>*come*</v>
      </c>
      <c r="O773" s="43" t="str">
        <v>*why*</v>
      </c>
      <c r="P773" s="43">
        <f t="shared" si="56"/>
        <v>1</v>
      </c>
      <c r="Q773" s="43" t="str">
        <v>*again*</v>
      </c>
      <c r="R773" s="43">
        <v>1</v>
      </c>
      <c r="S773" s="43">
        <f t="shared" si="57"/>
        <v>2.95</v>
      </c>
      <c r="T773" s="43">
        <f t="shared" si="58"/>
        <v>1</v>
      </c>
    </row>
    <row r="774" spans="7:20">
      <c r="G774" s="62" cm="1">
        <f t="array" ref="G774">INDEX($D:$D, MATCH(1, (H774 &gt;= $B:$B) * (H774 &lt;= $C:$C), 0))</f>
        <v>15</v>
      </c>
      <c r="H774" s="28">
        <v>46134</v>
      </c>
      <c r="I774" s="29" t="s">
        <v>24</v>
      </c>
      <c r="J774" s="29">
        <v>1</v>
      </c>
      <c r="K774" s="30" t="s">
        <v>465</v>
      </c>
      <c r="M774" s="43" t="str">
        <v>#4</v>
      </c>
      <c r="N774" s="43" t="str">
        <f t="shared" si="55"/>
        <v>*4*</v>
      </c>
      <c r="O774" s="43" t="str">
        <v>*its*</v>
      </c>
      <c r="P774" s="43">
        <f t="shared" si="56"/>
        <v>3</v>
      </c>
      <c r="Q774" s="43" t="str">
        <v>*outro*</v>
      </c>
      <c r="R774" s="43">
        <v>1</v>
      </c>
      <c r="S774" s="43">
        <f t="shared" si="57"/>
        <v>2.95</v>
      </c>
      <c r="T774" s="43">
        <f t="shared" si="58"/>
        <v>1</v>
      </c>
    </row>
    <row r="775" spans="7:20" ht="30">
      <c r="G775" s="62" cm="1">
        <f t="array" ref="G775">INDEX($D:$D, MATCH(1, (H775 &gt;= $B:$B) * (H775 &lt;= $C:$C), 0))</f>
        <v>15</v>
      </c>
      <c r="H775" s="28">
        <v>46134</v>
      </c>
      <c r="I775" s="29" t="s">
        <v>24</v>
      </c>
      <c r="J775" s="29">
        <v>5.75</v>
      </c>
      <c r="K775" s="30" t="s">
        <v>466</v>
      </c>
      <c r="M775" s="43" t="str">
        <v>tester</v>
      </c>
      <c r="N775" s="43" t="str">
        <f t="shared" si="55"/>
        <v>*tester*</v>
      </c>
      <c r="O775" s="43" t="str">
        <v>*again*</v>
      </c>
      <c r="P775" s="43">
        <f t="shared" si="56"/>
        <v>1</v>
      </c>
      <c r="Q775" s="43" t="str">
        <v>*scroll*</v>
      </c>
      <c r="R775" s="43">
        <v>1</v>
      </c>
      <c r="S775" s="43">
        <f t="shared" si="57"/>
        <v>2.95</v>
      </c>
      <c r="T775" s="43">
        <f t="shared" si="58"/>
        <v>1</v>
      </c>
    </row>
    <row r="776" spans="7:20">
      <c r="G776" s="62" cm="1">
        <f t="array" ref="G776">INDEX($D:$D, MATCH(1, (H776 &gt;= $B:$B) * (H776 &lt;= $C:$C), 0))</f>
        <v>15</v>
      </c>
      <c r="H776" s="28">
        <v>46134</v>
      </c>
      <c r="I776" s="29" t="s">
        <v>16</v>
      </c>
      <c r="J776" s="29">
        <v>4</v>
      </c>
      <c r="K776" s="30" t="s">
        <v>467</v>
      </c>
      <c r="M776" s="43" t="str">
        <v>after</v>
      </c>
      <c r="N776" s="43" t="str">
        <f t="shared" si="55"/>
        <v>*after*</v>
      </c>
      <c r="O776" s="43" t="str">
        <v>*update*</v>
      </c>
      <c r="P776" s="43">
        <f t="shared" si="56"/>
        <v>6</v>
      </c>
      <c r="Q776" s="43" t="str">
        <v>*credits*</v>
      </c>
      <c r="R776" s="43">
        <v>1</v>
      </c>
      <c r="S776" s="43">
        <f t="shared" si="57"/>
        <v>2.95</v>
      </c>
      <c r="T776" s="43">
        <f t="shared" si="58"/>
        <v>1</v>
      </c>
    </row>
    <row r="777" spans="7:20">
      <c r="G777" s="62" cm="1">
        <f t="array" ref="G777">INDEX($D:$D, MATCH(1, (H777 &gt;= $B:$B) * (H777 &lt;= $C:$C), 0))</f>
        <v>15</v>
      </c>
      <c r="H777" s="28">
        <v>46134</v>
      </c>
      <c r="I777" s="29" t="s">
        <v>26</v>
      </c>
      <c r="J777" s="29">
        <v>1</v>
      </c>
      <c r="K777" s="30" t="s">
        <v>468</v>
      </c>
      <c r="M777" s="43" t="str">
        <v>completion</v>
      </c>
      <c r="N777" s="43" t="str">
        <f t="shared" si="55"/>
        <v>*comple*</v>
      </c>
      <c r="O777" s="43" t="str">
        <v>*outro*</v>
      </c>
      <c r="P777" s="43">
        <f t="shared" si="56"/>
        <v>1</v>
      </c>
      <c r="Q777" s="43" t="str">
        <v>*third*</v>
      </c>
      <c r="R777" s="43">
        <v>1</v>
      </c>
      <c r="S777" s="43">
        <f t="shared" si="57"/>
        <v>2.95</v>
      </c>
      <c r="T777" s="43">
        <f t="shared" si="58"/>
        <v>1</v>
      </c>
    </row>
    <row r="778" spans="7:20">
      <c r="G778" s="62" cm="1">
        <f t="array" ref="G778">INDEX($D:$D, MATCH(1, (H778 &gt;= $B:$B) * (H778 &lt;= $C:$C), 0))</f>
        <v>15</v>
      </c>
      <c r="H778" s="28">
        <v>46134</v>
      </c>
      <c r="I778" s="29" t="s">
        <v>26</v>
      </c>
      <c r="J778" s="29">
        <v>3</v>
      </c>
      <c r="K778" s="30" t="s">
        <v>469</v>
      </c>
      <c r="M778" s="43" t="str">
        <v>organization</v>
      </c>
      <c r="N778" s="43" t="str">
        <f t="shared" si="55"/>
        <v>*organiza*</v>
      </c>
      <c r="O778" s="43" t="str">
        <v>*scroll*</v>
      </c>
      <c r="P778" s="43">
        <f t="shared" si="56"/>
        <v>1</v>
      </c>
      <c r="Q778" s="43" t="str">
        <v>*person*</v>
      </c>
      <c r="R778" s="43">
        <v>1</v>
      </c>
      <c r="S778" s="43">
        <f t="shared" si="57"/>
        <v>2.95</v>
      </c>
      <c r="T778" s="43">
        <f t="shared" si="58"/>
        <v>1</v>
      </c>
    </row>
    <row r="779" spans="7:20">
      <c r="G779" s="62" cm="1">
        <f t="array" ref="G779">INDEX($D:$D, MATCH(1, (H779 &gt;= $B:$B) * (H779 &lt;= $C:$C), 0))</f>
        <v>15</v>
      </c>
      <c r="H779" s="28">
        <v>46135</v>
      </c>
      <c r="I779" s="29" t="s">
        <v>26</v>
      </c>
      <c r="J779" s="29">
        <v>1.5</v>
      </c>
      <c r="K779" s="30" t="s">
        <v>470</v>
      </c>
      <c r="M779" s="43" t="str">
        <v>VS</v>
      </c>
      <c r="N779" s="43" t="str">
        <f t="shared" si="55"/>
        <v>*vs*</v>
      </c>
      <c r="O779" s="43" t="str">
        <v>*credits*</v>
      </c>
      <c r="P779" s="43">
        <f t="shared" si="56"/>
        <v>1</v>
      </c>
      <c r="Q779" s="43" t="str">
        <v>*characters*</v>
      </c>
      <c r="R779" s="43">
        <v>1</v>
      </c>
      <c r="S779" s="43">
        <f t="shared" si="57"/>
        <v>2.95</v>
      </c>
      <c r="T779" s="43">
        <f t="shared" si="58"/>
        <v>1</v>
      </c>
    </row>
    <row r="780" spans="7:20">
      <c r="G780" s="62" cm="1">
        <f t="array" ref="G780">INDEX($D:$D, MATCH(1, (H780 &gt;= $B:$B) * (H780 &lt;= $C:$C), 0))</f>
        <v>15</v>
      </c>
      <c r="H780" s="28">
        <v>46136</v>
      </c>
      <c r="I780" s="29" t="s">
        <v>28</v>
      </c>
      <c r="J780" s="29">
        <v>3.5</v>
      </c>
      <c r="K780" s="30" t="s">
        <v>471</v>
      </c>
      <c r="M780" s="43" t="str">
        <v>systems</v>
      </c>
      <c r="N780" s="43" t="str">
        <f t="shared" si="55"/>
        <v>*systems*</v>
      </c>
      <c r="O780" s="43" t="str">
        <v>*organ*</v>
      </c>
      <c r="P780" s="43">
        <f t="shared" si="56"/>
        <v>6</v>
      </c>
      <c r="Q780" s="43" t="str">
        <v>*tutorials*</v>
      </c>
      <c r="R780" s="43">
        <v>1</v>
      </c>
      <c r="S780" s="43">
        <f t="shared" si="57"/>
        <v>2.95</v>
      </c>
      <c r="T780" s="43">
        <f t="shared" si="58"/>
        <v>1</v>
      </c>
    </row>
    <row r="781" spans="7:20">
      <c r="G781" s="62" cm="1">
        <f t="array" ref="G781">INDEX($D:$D, MATCH(1, (H781 &gt;= $B:$B) * (H781 &lt;= $C:$C), 0))</f>
        <v>15</v>
      </c>
      <c r="H781" s="28">
        <v>46136</v>
      </c>
      <c r="I781" s="29" t="s">
        <v>26</v>
      </c>
      <c r="J781" s="29">
        <v>1.5</v>
      </c>
      <c r="K781" s="30" t="s">
        <v>472</v>
      </c>
      <c r="M781" s="43" t="str">
        <v>documentation.</v>
      </c>
      <c r="N781" s="43" t="str">
        <f t="shared" si="55"/>
        <v>*documenta*</v>
      </c>
      <c r="O781" s="43" t="str">
        <v>*bps*</v>
      </c>
      <c r="P781" s="43">
        <f t="shared" si="56"/>
        <v>0</v>
      </c>
      <c r="Q781" s="43" t="str">
        <v>*notab*</v>
      </c>
      <c r="R781" s="43">
        <v>1</v>
      </c>
      <c r="S781" s="43">
        <f t="shared" si="57"/>
        <v>2.95</v>
      </c>
      <c r="T781" s="43">
        <f t="shared" si="58"/>
        <v>1</v>
      </c>
    </row>
    <row r="782" spans="7:20">
      <c r="G782" s="62" cm="1">
        <f t="array" ref="G782">INDEX($D:$D, MATCH(1, (H782 &gt;= $B:$B) * (H782 &lt;= $C:$C), 0))</f>
        <v>15</v>
      </c>
      <c r="H782" s="28">
        <v>46139</v>
      </c>
      <c r="I782" s="29" t="s">
        <v>28</v>
      </c>
      <c r="J782" s="29">
        <v>1</v>
      </c>
      <c r="K782" s="30" t="s">
        <v>473</v>
      </c>
      <c r="M782" s="43" t="str">
        <v>Cooked</v>
      </c>
      <c r="N782" s="43" t="str">
        <f t="shared" si="55"/>
        <v>*cooked*</v>
      </c>
      <c r="O782" s="43" t="str">
        <v>*third*</v>
      </c>
      <c r="P782" s="43">
        <f t="shared" si="56"/>
        <v>1</v>
      </c>
      <c r="Q782" s="43" t="str">
        <v>*sensitiv*</v>
      </c>
      <c r="R782" s="43">
        <v>1</v>
      </c>
      <c r="S782" s="43">
        <f t="shared" si="57"/>
        <v>2.95</v>
      </c>
      <c r="T782" s="43">
        <f t="shared" si="58"/>
        <v>1</v>
      </c>
    </row>
    <row r="783" spans="7:20">
      <c r="G783" s="62" cm="1">
        <f t="array" ref="G783">INDEX($D:$D, MATCH(1, (H783 &gt;= $B:$B) * (H783 &lt;= $C:$C), 0))</f>
        <v>15</v>
      </c>
      <c r="H783" s="28">
        <v>46139</v>
      </c>
      <c r="I783" s="29" t="s">
        <v>26</v>
      </c>
      <c r="J783" s="29">
        <v>1</v>
      </c>
      <c r="K783" s="30" t="s">
        <v>473</v>
      </c>
      <c r="M783" s="43" t="str">
        <v>playtesting</v>
      </c>
      <c r="N783" s="43" t="str">
        <f t="shared" si="55"/>
        <v>*playtest*</v>
      </c>
      <c r="O783" s="43" t="str">
        <v>*person*</v>
      </c>
      <c r="P783" s="43">
        <f t="shared" si="56"/>
        <v>1</v>
      </c>
      <c r="Q783" s="43" t="str">
        <v>*passages*</v>
      </c>
      <c r="R783" s="43">
        <v>1</v>
      </c>
      <c r="S783" s="43">
        <f t="shared" si="57"/>
        <v>2.95</v>
      </c>
      <c r="T783" s="43">
        <f t="shared" si="58"/>
        <v>1</v>
      </c>
    </row>
    <row r="784" spans="7:20">
      <c r="G784" s="62" cm="1">
        <f t="array" ref="G784">INDEX($D:$D, MATCH(1, (H784 &gt;= $B:$B) * (H784 &lt;= $C:$C), 0))</f>
        <v>15</v>
      </c>
      <c r="H784" s="28">
        <v>46139</v>
      </c>
      <c r="I784" s="29" t="s">
        <v>78</v>
      </c>
      <c r="J784" s="29">
        <v>1</v>
      </c>
      <c r="K784" s="30" t="s">
        <v>473</v>
      </c>
      <c r="M784" s="43" t="str">
        <v>input</v>
      </c>
      <c r="N784" s="43" t="str">
        <f t="shared" si="55"/>
        <v>*input*</v>
      </c>
      <c r="O784" s="43" t="str">
        <v>*mom*</v>
      </c>
      <c r="P784" s="43">
        <f t="shared" si="56"/>
        <v>3</v>
      </c>
      <c r="Q784" s="43" t="str">
        <v>*trailer*</v>
      </c>
      <c r="R784" s="43">
        <v>1</v>
      </c>
      <c r="S784" s="43">
        <f t="shared" si="57"/>
        <v>2.95</v>
      </c>
      <c r="T784" s="43">
        <f t="shared" si="58"/>
        <v>1</v>
      </c>
    </row>
    <row r="785" spans="7:20">
      <c r="G785" s="62" cm="1">
        <f t="array" ref="G785">INDEX($D:$D, MATCH(1, (H785 &gt;= $B:$B) * (H785 &lt;= $C:$C), 0))</f>
        <v>15</v>
      </c>
      <c r="H785" s="28">
        <v>46139</v>
      </c>
      <c r="I785" s="29" t="s">
        <v>34</v>
      </c>
      <c r="J785" s="29">
        <v>1</v>
      </c>
      <c r="K785" s="30" t="s">
        <v>473</v>
      </c>
      <c r="M785" s="43" t="str">
        <v>actions</v>
      </c>
      <c r="N785" s="43" t="str">
        <f t="shared" si="55"/>
        <v>*acs*</v>
      </c>
      <c r="O785" s="43" t="str">
        <v>*dad*</v>
      </c>
      <c r="P785" s="43">
        <f t="shared" si="56"/>
        <v>2</v>
      </c>
      <c r="Q785" s="43" t="str">
        <v>*parents*</v>
      </c>
      <c r="R785" s="43">
        <v>1</v>
      </c>
      <c r="S785" s="43">
        <f t="shared" si="57"/>
        <v>2.95</v>
      </c>
      <c r="T785" s="43">
        <f t="shared" si="58"/>
        <v>1</v>
      </c>
    </row>
    <row r="786" spans="7:20">
      <c r="G786" s="62" cm="1">
        <f t="array" ref="G786">INDEX($D:$D, MATCH(1, (H786 &gt;= $B:$B) * (H786 &lt;= $C:$C), 0))</f>
        <v>15</v>
      </c>
      <c r="H786" s="28">
        <v>46139</v>
      </c>
      <c r="I786" s="29" t="s">
        <v>16</v>
      </c>
      <c r="J786" s="29">
        <v>1</v>
      </c>
      <c r="K786" s="30" t="s">
        <v>473</v>
      </c>
      <c r="M786" s="43" t="str">
        <v>toggle</v>
      </c>
      <c r="N786" s="43" t="str">
        <f t="shared" si="55"/>
        <v>*toggle*</v>
      </c>
      <c r="O786" s="43" t="str">
        <v>*characters*</v>
      </c>
      <c r="P786" s="43">
        <f t="shared" si="56"/>
        <v>1</v>
      </c>
      <c r="Q786" s="43" t="str">
        <v>*polish*</v>
      </c>
      <c r="R786" s="43">
        <v>1</v>
      </c>
      <c r="S786" s="43">
        <f t="shared" si="57"/>
        <v>2.95</v>
      </c>
      <c r="T786" s="43">
        <f t="shared" si="58"/>
        <v>1</v>
      </c>
    </row>
    <row r="787" spans="7:20">
      <c r="G787" s="62" cm="1">
        <f t="array" ref="G787">INDEX($D:$D, MATCH(1, (H787 &gt;= $B:$B) * (H787 &lt;= $C:$C), 0))</f>
        <v>15</v>
      </c>
      <c r="H787" s="28">
        <v>46139</v>
      </c>
      <c r="I787" s="29" t="s">
        <v>16</v>
      </c>
      <c r="J787" s="29">
        <v>1</v>
      </c>
      <c r="K787" s="30" t="s">
        <v>474</v>
      </c>
      <c r="M787" s="43" t="str">
        <v>valves,</v>
      </c>
      <c r="N787" s="43" t="str">
        <f t="shared" si="55"/>
        <v>*valves*</v>
      </c>
      <c r="O787" s="43" t="str">
        <v>*tutorials*</v>
      </c>
      <c r="P787" s="43">
        <f t="shared" si="56"/>
        <v>1</v>
      </c>
      <c r="Q787" s="43" t="str">
        <v>*tidy*</v>
      </c>
      <c r="R787" s="43">
        <v>1</v>
      </c>
      <c r="S787" s="43">
        <f t="shared" si="57"/>
        <v>2.95</v>
      </c>
      <c r="T787" s="43">
        <f t="shared" si="58"/>
        <v>1</v>
      </c>
    </row>
    <row r="788" spans="7:20" ht="30">
      <c r="G788" s="62" cm="1">
        <f t="array" ref="G788">INDEX($D:$D, MATCH(1, (H788 &gt;= $B:$B) * (H788 &lt;= $C:$C), 0))</f>
        <v>15</v>
      </c>
      <c r="H788" s="28">
        <v>46139</v>
      </c>
      <c r="I788" s="29" t="s">
        <v>78</v>
      </c>
      <c r="J788" s="29">
        <v>2.5</v>
      </c>
      <c r="K788" s="30" t="s">
        <v>475</v>
      </c>
      <c r="M788" s="43" t="str">
        <v>handling,</v>
      </c>
      <c r="N788" s="43" t="str">
        <f t="shared" si="55"/>
        <v>*handl*</v>
      </c>
      <c r="O788" s="43" t="str">
        <v>*tons*</v>
      </c>
      <c r="P788" s="43">
        <f t="shared" si="56"/>
        <v>4</v>
      </c>
      <c r="Q788" s="43" t="str">
        <v>*stuff*</v>
      </c>
      <c r="R788" s="43">
        <v>1</v>
      </c>
      <c r="S788" s="43">
        <f t="shared" si="57"/>
        <v>2.95</v>
      </c>
      <c r="T788" s="43">
        <f t="shared" si="58"/>
        <v>1</v>
      </c>
    </row>
    <row r="789" spans="7:20" ht="45">
      <c r="G789" s="62" cm="1">
        <f t="array" ref="G789">INDEX($D:$D, MATCH(1, (H789 &gt;= $B:$B) * (H789 &lt;= $C:$C), 0))</f>
        <v>15</v>
      </c>
      <c r="H789" s="28">
        <v>46139</v>
      </c>
      <c r="I789" s="29" t="s">
        <v>34</v>
      </c>
      <c r="J789" s="29">
        <v>3</v>
      </c>
      <c r="K789" s="30" t="s">
        <v>476</v>
      </c>
      <c r="M789" s="43" t="str">
        <v>view.</v>
      </c>
      <c r="N789" s="43" t="str">
        <f t="shared" si="55"/>
        <v>*view*</v>
      </c>
      <c r="O789" s="43" t="str">
        <v>*notab*</v>
      </c>
      <c r="P789" s="43">
        <f t="shared" si="56"/>
        <v>1</v>
      </c>
      <c r="Q789" s="43" t="str">
        <v>*upload*</v>
      </c>
      <c r="R789" s="43">
        <v>1</v>
      </c>
      <c r="S789" s="43">
        <f t="shared" si="57"/>
        <v>2.95</v>
      </c>
      <c r="T789" s="43">
        <f t="shared" si="58"/>
        <v>1</v>
      </c>
    </row>
    <row r="790" spans="7:20" ht="45">
      <c r="G790" s="62" cm="1">
        <f t="array" ref="G790">INDEX($D:$D, MATCH(1, (H790 &gt;= $B:$B) * (H790 &lt;= $C:$C), 0))</f>
        <v>15</v>
      </c>
      <c r="H790" s="28">
        <v>46139</v>
      </c>
      <c r="I790" s="29" t="s">
        <v>78</v>
      </c>
      <c r="J790" s="29">
        <v>3.5</v>
      </c>
      <c r="K790" s="30" t="s">
        <v>477</v>
      </c>
      <c r="M790" s="43" t="str">
        <v>Sessions</v>
      </c>
      <c r="N790" s="43" t="str">
        <f t="shared" si="55"/>
        <v>*sessions*</v>
      </c>
      <c r="O790" s="43" t="str">
        <v>*sensitiv*</v>
      </c>
      <c r="P790" s="43">
        <f t="shared" si="56"/>
        <v>1</v>
      </c>
      <c r="Q790" s="43" t="str">
        <v>*business*</v>
      </c>
      <c r="R790" s="43">
        <v>1</v>
      </c>
      <c r="S790" s="43">
        <f t="shared" si="57"/>
        <v>2.95</v>
      </c>
      <c r="T790" s="43">
        <f t="shared" si="58"/>
        <v>1</v>
      </c>
    </row>
    <row r="791" spans="7:20">
      <c r="G791" s="62" cm="1">
        <f t="array" ref="G791">INDEX($D:$D, MATCH(1, (H791 &gt;= $B:$B) * (H791 &lt;= $C:$C), 0))</f>
        <v>15</v>
      </c>
      <c r="H791" s="28">
        <v>46140</v>
      </c>
      <c r="I791" s="29" t="s">
        <v>78</v>
      </c>
      <c r="J791" s="29">
        <v>0.5</v>
      </c>
      <c r="K791" s="30" t="s">
        <v>478</v>
      </c>
      <c r="M791" s="43" t="str">
        <v>map</v>
      </c>
      <c r="N791" s="43" t="str">
        <f t="shared" si="55"/>
        <v>*map*</v>
      </c>
      <c r="O791" s="43" t="str">
        <v>*passages*</v>
      </c>
      <c r="P791" s="43">
        <f t="shared" si="56"/>
        <v>1</v>
      </c>
      <c r="Q791" s="43" t="str">
        <v>*current*</v>
      </c>
      <c r="R791" s="43">
        <v>1</v>
      </c>
      <c r="S791" s="43">
        <f t="shared" si="57"/>
        <v>2.95</v>
      </c>
      <c r="T791" s="43">
        <f t="shared" si="58"/>
        <v>1</v>
      </c>
    </row>
    <row r="792" spans="7:20">
      <c r="G792" s="62" cm="1">
        <f t="array" ref="G792">INDEX($D:$D, MATCH(1, (H792 &gt;= $B:$B) * (H792 &lt;= $C:$C), 0))</f>
        <v>15</v>
      </c>
      <c r="H792" s="28">
        <v>46140</v>
      </c>
      <c r="I792" s="29" t="s">
        <v>28</v>
      </c>
      <c r="J792" s="29">
        <v>2</v>
      </c>
      <c r="K792" s="30" t="s">
        <v>479</v>
      </c>
      <c r="M792" s="43" t="str">
        <v>(debugging)</v>
      </c>
      <c r="N792" s="43" t="str">
        <f t="shared" si="55"/>
        <v>*debugg*</v>
      </c>
      <c r="O792" s="43" t="str">
        <v>*trailer*</v>
      </c>
      <c r="P792" s="43">
        <f t="shared" si="56"/>
        <v>1</v>
      </c>
      <c r="Q792" s="43" t="str">
        <v>*mouse*</v>
      </c>
      <c r="R792" s="43">
        <v>1</v>
      </c>
      <c r="S792" s="43">
        <f t="shared" si="57"/>
        <v>2.95</v>
      </c>
      <c r="T792" s="43">
        <f t="shared" si="58"/>
        <v>1</v>
      </c>
    </row>
    <row r="793" spans="7:20">
      <c r="G793" s="62" cm="1">
        <f t="array" ref="G793">INDEX($D:$D, MATCH(1, (H793 &gt;= $B:$B) * (H793 &lt;= $C:$C), 0))</f>
        <v>15</v>
      </c>
      <c r="H793" s="28">
        <v>46140</v>
      </c>
      <c r="I793" s="29" t="s">
        <v>78</v>
      </c>
      <c r="J793" s="29">
        <v>0.5</v>
      </c>
      <c r="K793" s="30" t="s">
        <v>480</v>
      </c>
      <c r="M793" s="43" t="str">
        <v>6</v>
      </c>
      <c r="N793" s="43" t="str">
        <f t="shared" si="55"/>
        <v>*6*</v>
      </c>
      <c r="O793" s="43" t="str">
        <v>*queen*</v>
      </c>
      <c r="P793" s="43">
        <f t="shared" si="56"/>
        <v>2</v>
      </c>
      <c r="Q793" s="43" t="str">
        <v>*bp_passage*</v>
      </c>
      <c r="R793" s="43">
        <v>1</v>
      </c>
      <c r="S793" s="43">
        <f t="shared" si="57"/>
        <v>2.95</v>
      </c>
      <c r="T793" s="43">
        <f t="shared" si="58"/>
        <v>1</v>
      </c>
    </row>
    <row r="794" spans="7:20" ht="30">
      <c r="G794" s="62" cm="1">
        <f t="array" ref="G794">INDEX($D:$D, MATCH(1, (H794 &gt;= $B:$B) * (H794 &lt;= $C:$C), 0))</f>
        <v>15</v>
      </c>
      <c r="H794" s="28">
        <v>46140</v>
      </c>
      <c r="I794" s="29" t="s">
        <v>16</v>
      </c>
      <c r="J794" s="29">
        <v>2</v>
      </c>
      <c r="K794" s="30" t="s">
        <v>481</v>
      </c>
      <c r="M794" s="43" t="str">
        <v>suggestions</v>
      </c>
      <c r="N794" s="43" t="str">
        <f t="shared" si="55"/>
        <v>*suggess*</v>
      </c>
      <c r="O794" s="43" t="str">
        <v>*princess*</v>
      </c>
      <c r="P794" s="43">
        <f t="shared" si="56"/>
        <v>2</v>
      </c>
      <c r="Q794" s="43" t="str">
        <v>*across*</v>
      </c>
      <c r="R794" s="43">
        <v>1</v>
      </c>
      <c r="S794" s="43">
        <f t="shared" si="57"/>
        <v>2.95</v>
      </c>
      <c r="T794" s="43">
        <f t="shared" si="58"/>
        <v>1</v>
      </c>
    </row>
    <row r="795" spans="7:20">
      <c r="G795" s="62" cm="1">
        <f t="array" ref="G795">INDEX($D:$D, MATCH(1, (H795 &gt;= $B:$B) * (H795 &lt;= $C:$C), 0))</f>
        <v>15</v>
      </c>
      <c r="H795" s="28">
        <v>46140</v>
      </c>
      <c r="I795" s="29" t="s">
        <v>28</v>
      </c>
      <c r="J795" s="29">
        <v>1</v>
      </c>
      <c r="K795" s="30" t="s">
        <v>377</v>
      </c>
      <c r="M795" s="43" t="str">
        <v>7</v>
      </c>
      <c r="N795" s="43" t="str">
        <f t="shared" si="55"/>
        <v>*7*</v>
      </c>
      <c r="O795" s="43" t="str">
        <v>*parents*</v>
      </c>
      <c r="P795" s="43">
        <f t="shared" si="56"/>
        <v>1</v>
      </c>
      <c r="Q795" s="43" t="str">
        <v>*two*</v>
      </c>
      <c r="R795" s="43">
        <v>1</v>
      </c>
      <c r="S795" s="43">
        <f t="shared" si="57"/>
        <v>2.95</v>
      </c>
      <c r="T795" s="43">
        <f t="shared" si="58"/>
        <v>1</v>
      </c>
    </row>
    <row r="796" spans="7:20">
      <c r="G796" s="62" cm="1">
        <f t="array" ref="G796">INDEX($D:$D, MATCH(1, (H796 &gt;= $B:$B) * (H796 &lt;= $C:$C), 0))</f>
        <v>15</v>
      </c>
      <c r="H796" s="28">
        <v>46141</v>
      </c>
      <c r="I796" s="29" t="s">
        <v>16</v>
      </c>
      <c r="J796" s="29">
        <v>3</v>
      </c>
      <c r="K796" s="30" t="s">
        <v>482</v>
      </c>
      <c r="M796" s="43" t="str">
        <v>state</v>
      </c>
      <c r="N796" s="43" t="str">
        <f t="shared" si="55"/>
        <v>*state*</v>
      </c>
      <c r="O796" s="43" t="str">
        <v>*polish*</v>
      </c>
      <c r="P796" s="43">
        <f t="shared" si="56"/>
        <v>1</v>
      </c>
      <c r="Q796" s="43" t="str">
        <v>*longer*</v>
      </c>
      <c r="R796" s="43">
        <v>1</v>
      </c>
      <c r="S796" s="43">
        <f t="shared" si="57"/>
        <v>2.95</v>
      </c>
      <c r="T796" s="43">
        <f t="shared" si="58"/>
        <v>1</v>
      </c>
    </row>
    <row r="797" spans="7:20">
      <c r="G797" s="62" cm="1">
        <f t="array" ref="G797">INDEX($D:$D, MATCH(1, (H797 &gt;= $B:$B) * (H797 &lt;= $C:$C), 0))</f>
        <v>15</v>
      </c>
      <c r="H797" s="28">
        <v>46141</v>
      </c>
      <c r="I797" s="29" t="s">
        <v>78</v>
      </c>
      <c r="J797" s="29">
        <v>1.5</v>
      </c>
      <c r="K797" s="30" t="s">
        <v>483</v>
      </c>
      <c r="M797" s="43" t="str">
        <v>8</v>
      </c>
      <c r="N797" s="43" t="str">
        <f t="shared" si="55"/>
        <v>*8*</v>
      </c>
      <c r="O797" s="43" t="str">
        <v>*tidy*</v>
      </c>
      <c r="P797" s="43">
        <f t="shared" si="56"/>
        <v>1</v>
      </c>
      <c r="Q797" s="43" t="str">
        <v>*list*</v>
      </c>
      <c r="R797" s="43">
        <v>1</v>
      </c>
      <c r="S797" s="43">
        <f t="shared" si="57"/>
        <v>2.95</v>
      </c>
      <c r="T797" s="43">
        <f t="shared" si="58"/>
        <v>1</v>
      </c>
    </row>
    <row r="798" spans="7:20">
      <c r="G798" s="62" cm="1">
        <f t="array" ref="G798">INDEX($D:$D, MATCH(1, (H798 &gt;= $B:$B) * (H798 &lt;= $C:$C), 0))</f>
        <v>15</v>
      </c>
      <c r="H798" s="28">
        <v>46141</v>
      </c>
      <c r="I798" s="29" t="s">
        <v>24</v>
      </c>
      <c r="J798" s="29">
        <v>2.5</v>
      </c>
      <c r="K798" s="30" t="s">
        <v>377</v>
      </c>
      <c r="M798" s="43" t="str">
        <v>Looking</v>
      </c>
      <c r="N798" s="43" t="str">
        <f t="shared" si="55"/>
        <v>*look*</v>
      </c>
      <c r="O798" s="43" t="str">
        <v>*stuff*</v>
      </c>
      <c r="P798" s="43">
        <f t="shared" si="56"/>
        <v>1</v>
      </c>
      <c r="Q798" s="43" t="str">
        <v>*future*</v>
      </c>
      <c r="R798" s="43">
        <v>1</v>
      </c>
      <c r="S798" s="43">
        <f t="shared" si="57"/>
        <v>2.95</v>
      </c>
      <c r="T798" s="43">
        <f t="shared" si="58"/>
        <v>1</v>
      </c>
    </row>
    <row r="799" spans="7:20">
      <c r="G799" s="62" cm="1">
        <f t="array" ref="G799">INDEX($D:$D, MATCH(1, (H799 &gt;= $B:$B) * (H799 &lt;= $C:$C), 0))</f>
        <v>15</v>
      </c>
      <c r="H799" s="28">
        <v>46141</v>
      </c>
      <c r="I799" s="29" t="s">
        <v>16</v>
      </c>
      <c r="J799" s="29">
        <v>2.5</v>
      </c>
      <c r="K799" s="30" t="s">
        <v>377</v>
      </c>
      <c r="M799" s="43" t="str">
        <v>interactions</v>
      </c>
      <c r="N799" s="43" t="str">
        <f t="shared" si="55"/>
        <v>*interacs*</v>
      </c>
      <c r="O799" s="43" t="str">
        <v>*upload*</v>
      </c>
      <c r="P799" s="43">
        <f t="shared" si="56"/>
        <v>1</v>
      </c>
      <c r="Q799" s="43" t="str">
        <v>*dur*</v>
      </c>
      <c r="R799" s="43">
        <v>1</v>
      </c>
      <c r="S799" s="43">
        <f t="shared" si="57"/>
        <v>2.95</v>
      </c>
      <c r="T799" s="43">
        <f t="shared" si="58"/>
        <v>1</v>
      </c>
    </row>
    <row r="800" spans="7:20">
      <c r="G800" s="62" cm="1">
        <f t="array" ref="G800">INDEX($D:$D, MATCH(1, (H800 &gt;= $B:$B) * (H800 &lt;= $C:$C), 0))</f>
        <v>15</v>
      </c>
      <c r="H800" s="28">
        <v>46141</v>
      </c>
      <c r="I800" s="29" t="s">
        <v>26</v>
      </c>
      <c r="J800" s="29">
        <v>2</v>
      </c>
      <c r="K800" s="30" t="s">
        <v>377</v>
      </c>
      <c r="M800" s="43" t="str">
        <v>p4ignore</v>
      </c>
      <c r="N800" s="43" t="str">
        <f t="shared" si="55"/>
        <v>*p4ignore*</v>
      </c>
      <c r="O800" s="43" t="str">
        <v>*business*</v>
      </c>
      <c r="P800" s="43">
        <f t="shared" si="56"/>
        <v>1</v>
      </c>
      <c r="Q800" s="43" t="str">
        <v>*multiple*</v>
      </c>
      <c r="R800" s="43">
        <v>1</v>
      </c>
      <c r="S800" s="43">
        <f t="shared" si="57"/>
        <v>2.95</v>
      </c>
      <c r="T800" s="43">
        <f t="shared" si="58"/>
        <v>1</v>
      </c>
    </row>
    <row r="801" spans="7:20">
      <c r="G801" s="62" cm="1">
        <f t="array" ref="G801">INDEX($D:$D, MATCH(1, (H801 &gt;= $B:$B) * (H801 &lt;= $C:$C), 0))</f>
        <v>15</v>
      </c>
      <c r="H801" s="28">
        <v>46141</v>
      </c>
      <c r="I801" s="29" t="s">
        <v>78</v>
      </c>
      <c r="J801" s="29">
        <v>1</v>
      </c>
      <c r="K801" s="30" t="s">
        <v>377</v>
      </c>
      <c r="M801" s="43" t="str">
        <v>couple</v>
      </c>
      <c r="N801" s="43" t="str">
        <f t="shared" si="55"/>
        <v>*couple*</v>
      </c>
      <c r="O801" s="43" t="str">
        <v>*cards*</v>
      </c>
      <c r="P801" s="43">
        <f t="shared" si="56"/>
        <v>2</v>
      </c>
      <c r="Q801" s="43" t="str">
        <v>*playthroughs*</v>
      </c>
      <c r="R801" s="43">
        <v>1</v>
      </c>
      <c r="S801" s="43">
        <f t="shared" si="57"/>
        <v>2.95</v>
      </c>
      <c r="T801" s="43">
        <f t="shared" si="58"/>
        <v>1</v>
      </c>
    </row>
    <row r="802" spans="7:20">
      <c r="G802" s="62" cm="1">
        <f t="array" ref="G802">INDEX($D:$D, MATCH(1, (H802 &gt;= $B:$B) * (H802 &lt;= $C:$C), 0))</f>
        <v>15</v>
      </c>
      <c r="H802" s="28">
        <v>46141</v>
      </c>
      <c r="I802" s="29" t="s">
        <v>28</v>
      </c>
      <c r="J802" s="29">
        <v>2</v>
      </c>
      <c r="K802" s="30" t="s">
        <v>377</v>
      </c>
      <c r="M802" s="43" t="str">
        <v>issues</v>
      </c>
      <c r="N802" s="43" t="str">
        <f t="shared" si="55"/>
        <v>*issues*</v>
      </c>
      <c r="O802" s="43" t="str">
        <v>*bridge*</v>
      </c>
      <c r="P802" s="43">
        <f t="shared" si="56"/>
        <v>7</v>
      </c>
      <c r="Q802" s="43" t="str">
        <v>*started*</v>
      </c>
      <c r="R802" s="43">
        <v>1</v>
      </c>
      <c r="S802" s="43">
        <f t="shared" si="57"/>
        <v>2.95</v>
      </c>
      <c r="T802" s="43">
        <f t="shared" si="58"/>
        <v>1</v>
      </c>
    </row>
    <row r="803" spans="7:20">
      <c r="G803" s="62" cm="1">
        <f t="array" ref="G803">INDEX($D:$D, MATCH(1, (H803 &gt;= $B:$B) * (H803 &lt;= $C:$C), 0))</f>
        <v>15</v>
      </c>
      <c r="H803" s="28">
        <v>46141</v>
      </c>
      <c r="I803" s="29" t="s">
        <v>34</v>
      </c>
      <c r="J803" s="29">
        <v>2</v>
      </c>
      <c r="K803" s="30" t="s">
        <v>377</v>
      </c>
      <c r="M803" s="43" t="str">
        <v>Ricardo,</v>
      </c>
      <c r="N803" s="43" t="str">
        <f t="shared" si="55"/>
        <v>*ricardo*</v>
      </c>
      <c r="O803" s="43" t="str">
        <v>*current*</v>
      </c>
      <c r="P803" s="43">
        <f t="shared" si="56"/>
        <v>1</v>
      </c>
      <c r="Q803" s="43" t="str">
        <v>*message*</v>
      </c>
      <c r="R803" s="43">
        <v>1</v>
      </c>
      <c r="S803" s="43">
        <f t="shared" si="57"/>
        <v>2.95</v>
      </c>
      <c r="T803" s="43">
        <f t="shared" si="58"/>
        <v>1</v>
      </c>
    </row>
    <row r="804" spans="7:20">
      <c r="G804" s="62" cm="1">
        <f t="array" ref="G804">INDEX($D:$D, MATCH(1, (H804 &gt;= $B:$B) * (H804 &lt;= $C:$C), 0))</f>
        <v>15</v>
      </c>
      <c r="H804" s="28">
        <v>46141</v>
      </c>
      <c r="I804" s="29" t="s">
        <v>34</v>
      </c>
      <c r="J804" s="29">
        <v>1.5</v>
      </c>
      <c r="K804" s="30" t="s">
        <v>484</v>
      </c>
      <c r="M804" s="43" t="str">
        <v>cutscenes</v>
      </c>
      <c r="N804" s="43" t="str">
        <f t="shared" si="55"/>
        <v>*cutscenes*</v>
      </c>
      <c r="O804" s="43" t="str">
        <v>*mouse*</v>
      </c>
      <c r="P804" s="43">
        <f t="shared" si="56"/>
        <v>1</v>
      </c>
      <c r="Q804" s="43" t="str">
        <v>*background*</v>
      </c>
      <c r="R804" s="43">
        <v>1</v>
      </c>
      <c r="S804" s="43">
        <f t="shared" si="57"/>
        <v>2.95</v>
      </c>
      <c r="T804" s="43">
        <f t="shared" si="58"/>
        <v>1</v>
      </c>
    </row>
    <row r="805" spans="7:20">
      <c r="G805" s="62" cm="1">
        <f t="array" ref="G805">INDEX($D:$D, MATCH(1, (H805 &gt;= $B:$B) * (H805 &lt;= $C:$C), 0))</f>
        <v>15</v>
      </c>
      <c r="H805" s="28">
        <v>46141</v>
      </c>
      <c r="I805" s="29" t="s">
        <v>16</v>
      </c>
      <c r="J805" s="29">
        <v>0.5</v>
      </c>
      <c r="K805" s="30" t="s">
        <v>484</v>
      </c>
      <c r="M805" s="43" t="str">
        <v>audio</v>
      </c>
      <c r="N805" s="43" t="str">
        <f t="shared" si="55"/>
        <v>*audio*</v>
      </c>
      <c r="O805" s="43" t="str">
        <v>*bp_passage*</v>
      </c>
      <c r="P805" s="43">
        <f t="shared" si="56"/>
        <v>1</v>
      </c>
      <c r="Q805" s="43" t="str">
        <v>*hallway*</v>
      </c>
      <c r="R805" s="43">
        <v>1</v>
      </c>
      <c r="S805" s="43">
        <f t="shared" si="57"/>
        <v>2.95</v>
      </c>
      <c r="T805" s="43">
        <f t="shared" si="58"/>
        <v>1</v>
      </c>
    </row>
    <row r="806" spans="7:20">
      <c r="G806" s="62" cm="1">
        <f t="array" ref="G806">INDEX($D:$D, MATCH(1, (H806 &gt;= $B:$B) * (H806 &lt;= $C:$C), 0))</f>
        <v>15</v>
      </c>
      <c r="H806" s="28">
        <v>46141</v>
      </c>
      <c r="I806" s="29" t="s">
        <v>24</v>
      </c>
      <c r="J806" s="29">
        <v>0.5</v>
      </c>
      <c r="K806" s="30" t="s">
        <v>484</v>
      </c>
      <c r="M806" s="43" t="str">
        <v>particle</v>
      </c>
      <c r="N806" s="43" t="str">
        <f t="shared" si="55"/>
        <v>*particle*</v>
      </c>
      <c r="O806" s="43" t="str">
        <v>*across*</v>
      </c>
      <c r="P806" s="43">
        <f t="shared" si="56"/>
        <v>1</v>
      </c>
      <c r="Q806" s="43" t="str">
        <v>*ops*</v>
      </c>
      <c r="R806" s="43">
        <v>0</v>
      </c>
      <c r="S806" s="43" t="e">
        <f t="shared" si="57"/>
        <v>#DIV/0!</v>
      </c>
      <c r="T806" s="43" t="e">
        <f t="shared" si="58"/>
        <v>#DIV/0!</v>
      </c>
    </row>
    <row r="807" spans="7:20">
      <c r="G807" s="62" cm="1">
        <f t="array" ref="G807">INDEX($D:$D, MATCH(1, (H807 &gt;= $B:$B) * (H807 &lt;= $C:$C), 0))</f>
        <v>15</v>
      </c>
      <c r="H807" s="28">
        <v>46141</v>
      </c>
      <c r="I807" s="29" t="s">
        <v>28</v>
      </c>
      <c r="J807" s="29">
        <v>0.5</v>
      </c>
      <c r="K807" s="30" t="s">
        <v>484</v>
      </c>
      <c r="M807" s="43" t="str">
        <v>splines</v>
      </c>
      <c r="N807" s="43" t="str">
        <f t="shared" si="55"/>
        <v>*splines*</v>
      </c>
      <c r="O807" s="43" t="str">
        <v>*two*</v>
      </c>
      <c r="P807" s="43">
        <f t="shared" si="56"/>
        <v>1</v>
      </c>
      <c r="Q807" s="43" t="str">
        <v>*logans*</v>
      </c>
      <c r="R807" s="43">
        <v>0</v>
      </c>
      <c r="S807" s="43" t="e">
        <f t="shared" si="57"/>
        <v>#DIV/0!</v>
      </c>
      <c r="T807" s="43" t="e">
        <f t="shared" si="58"/>
        <v>#DIV/0!</v>
      </c>
    </row>
    <row r="808" spans="7:20">
      <c r="G808" s="62" cm="1">
        <f t="array" ref="G808">INDEX($D:$D, MATCH(1, (H808 &gt;= $B:$B) * (H808 &lt;= $C:$C), 0))</f>
        <v>15</v>
      </c>
      <c r="H808" s="28">
        <v>46141</v>
      </c>
      <c r="I808" s="29" t="s">
        <v>26</v>
      </c>
      <c r="J808" s="29">
        <v>0.5</v>
      </c>
      <c r="K808" s="30" t="s">
        <v>484</v>
      </c>
      <c r="M808" s="43" t="str">
        <v>prototype</v>
      </c>
      <c r="N808" s="43" t="str">
        <f t="shared" si="55"/>
        <v>*prototype*</v>
      </c>
      <c r="O808" s="43" t="str">
        <v>*no*</v>
      </c>
      <c r="P808" s="43">
        <f t="shared" si="56"/>
        <v>22</v>
      </c>
      <c r="Q808" s="43" t="str">
        <v>*setts*</v>
      </c>
      <c r="R808" s="43">
        <v>0</v>
      </c>
      <c r="S808" s="43" t="e">
        <f t="shared" si="57"/>
        <v>#DIV/0!</v>
      </c>
      <c r="T808" s="43" t="e">
        <f t="shared" si="58"/>
        <v>#DIV/0!</v>
      </c>
    </row>
    <row r="809" spans="7:20">
      <c r="G809" s="62" cm="1">
        <f t="array" ref="G809">INDEX($D:$D, MATCH(1, (H809 &gt;= $B:$B) * (H809 &lt;= $C:$C), 0))</f>
        <v>15</v>
      </c>
      <c r="H809" s="28">
        <v>46141</v>
      </c>
      <c r="I809" s="29" t="s">
        <v>78</v>
      </c>
      <c r="J809" s="29">
        <v>0.5</v>
      </c>
      <c r="K809" s="30" t="s">
        <v>484</v>
      </c>
      <c r="M809" s="43" t="str">
        <v>Tweaking</v>
      </c>
      <c r="N809" s="43" t="str">
        <f t="shared" si="55"/>
        <v>*tweak*</v>
      </c>
      <c r="O809" s="43" t="str">
        <v>*longer*</v>
      </c>
      <c r="P809" s="43">
        <f t="shared" si="56"/>
        <v>1</v>
      </c>
      <c r="Q809" s="43" t="str">
        <v>*warns*</v>
      </c>
      <c r="R809" s="43">
        <v>0</v>
      </c>
      <c r="S809" s="43" t="e">
        <f t="shared" si="57"/>
        <v>#DIV/0!</v>
      </c>
      <c r="T809" s="43" t="e">
        <f t="shared" si="58"/>
        <v>#DIV/0!</v>
      </c>
    </row>
    <row r="810" spans="7:20" ht="30">
      <c r="G810" s="62" cm="1">
        <f t="array" ref="G810">INDEX($D:$D, MATCH(1, (H810 &gt;= $B:$B) * (H810 &lt;= $C:$C), 0))</f>
        <v>15</v>
      </c>
      <c r="H810" s="28">
        <v>46141</v>
      </c>
      <c r="I810" s="29" t="s">
        <v>16</v>
      </c>
      <c r="J810" s="29">
        <v>5</v>
      </c>
      <c r="K810" s="30" t="s">
        <v>485</v>
      </c>
      <c r="M810" s="43" t="str">
        <v>walking</v>
      </c>
      <c r="N810" s="43" t="str">
        <f t="shared" si="55"/>
        <v>*walk*</v>
      </c>
      <c r="O810" s="43" t="str">
        <v>*rest*</v>
      </c>
      <c r="P810" s="43">
        <f t="shared" si="56"/>
        <v>9</v>
      </c>
      <c r="Q810" s="43" t="str">
        <v>*funcal*</v>
      </c>
      <c r="R810" s="43">
        <v>0</v>
      </c>
      <c r="S810" s="43" t="e">
        <f t="shared" si="57"/>
        <v>#DIV/0!</v>
      </c>
      <c r="T810" s="43" t="e">
        <f t="shared" si="58"/>
        <v>#DIV/0!</v>
      </c>
    </row>
    <row r="811" spans="7:20">
      <c r="G811" s="62" cm="1">
        <f t="array" ref="G811">INDEX($D:$D, MATCH(1, (H811 &gt;= $B:$B) * (H811 &lt;= $C:$C), 0))</f>
        <v>15</v>
      </c>
      <c r="H811" s="28">
        <v>46141</v>
      </c>
      <c r="I811" s="29" t="s">
        <v>34</v>
      </c>
      <c r="J811" s="29">
        <v>2</v>
      </c>
      <c r="K811" s="30" t="s">
        <v>377</v>
      </c>
      <c r="M811" s="43" t="str">
        <v>running</v>
      </c>
      <c r="N811" s="43" t="str">
        <f t="shared" si="55"/>
        <v>*runn*</v>
      </c>
      <c r="O811" s="43" t="str">
        <v>*list*</v>
      </c>
      <c r="P811" s="43">
        <f t="shared" si="56"/>
        <v>1</v>
      </c>
      <c r="Q811" s="43" t="str">
        <v>*wouldnt*</v>
      </c>
      <c r="R811" s="43">
        <v>0</v>
      </c>
      <c r="S811" s="43" t="e">
        <f t="shared" si="57"/>
        <v>#DIV/0!</v>
      </c>
      <c r="T811" s="43" t="e">
        <f t="shared" si="58"/>
        <v>#DIV/0!</v>
      </c>
    </row>
    <row r="812" spans="7:20">
      <c r="G812" s="62" cm="1">
        <f t="array" ref="G812">INDEX($D:$D, MATCH(1, (H812 &gt;= $B:$B) * (H812 &lt;= $C:$C), 0))</f>
        <v>15</v>
      </c>
      <c r="H812" s="28">
        <v>46141</v>
      </c>
      <c r="I812" s="29" t="s">
        <v>16</v>
      </c>
      <c r="J812" s="29">
        <v>0.25</v>
      </c>
      <c r="K812" s="30" t="s">
        <v>486</v>
      </c>
      <c r="M812" s="43" t="str">
        <v>walking/running</v>
      </c>
      <c r="N812" s="43" t="str">
        <f t="shared" si="55"/>
        <v>*walkrunn*</v>
      </c>
      <c r="O812" s="43" t="str">
        <v>*future*</v>
      </c>
      <c r="P812" s="43">
        <f t="shared" si="56"/>
        <v>1</v>
      </c>
      <c r="Q812" s="43" t="str">
        <v>*walksprint*</v>
      </c>
      <c r="R812" s="43">
        <v>0</v>
      </c>
      <c r="S812" s="43" t="e">
        <f t="shared" si="57"/>
        <v>#DIV/0!</v>
      </c>
      <c r="T812" s="43" t="e">
        <f t="shared" si="58"/>
        <v>#DIV/0!</v>
      </c>
    </row>
    <row r="813" spans="7:20">
      <c r="G813" s="62" cm="1">
        <f t="array" ref="G813">INDEX($D:$D, MATCH(1, (H813 &gt;= $B:$B) * (H813 &lt;= $C:$C), 0))</f>
        <v>15</v>
      </c>
      <c r="H813" s="28">
        <v>46141</v>
      </c>
      <c r="I813" s="29" t="s">
        <v>16</v>
      </c>
      <c r="J813" s="29">
        <v>2</v>
      </c>
      <c r="K813" s="30" t="s">
        <v>487</v>
      </c>
      <c r="M813" s="43" t="str">
        <v>screen,</v>
      </c>
      <c r="N813" s="43" t="str">
        <f t="shared" si="55"/>
        <v>*screen*</v>
      </c>
      <c r="O813" s="43" t="str">
        <v>*dur*</v>
      </c>
      <c r="P813" s="43">
        <f t="shared" si="56"/>
        <v>1</v>
      </c>
      <c r="Q813" s="43" t="str">
        <v>*ingame*</v>
      </c>
      <c r="R813" s="43">
        <v>0</v>
      </c>
      <c r="S813" s="43" t="e">
        <f t="shared" si="57"/>
        <v>#DIV/0!</v>
      </c>
      <c r="T813" s="43" t="e">
        <f t="shared" si="58"/>
        <v>#DIV/0!</v>
      </c>
    </row>
    <row r="814" spans="7:20">
      <c r="G814" s="62" cm="1">
        <f t="array" ref="G814">INDEX($D:$D, MATCH(1, (H814 &gt;= $B:$B) * (H814 &lt;= $C:$C), 0))</f>
        <v>15</v>
      </c>
      <c r="H814" s="28">
        <v>46142</v>
      </c>
      <c r="I814" s="29" t="s">
        <v>16</v>
      </c>
      <c r="J814" s="29">
        <v>3</v>
      </c>
      <c r="K814" s="30" t="s">
        <v>488</v>
      </c>
      <c r="M814" s="43" t="str">
        <v>save</v>
      </c>
      <c r="N814" s="43" t="str">
        <f t="shared" si="55"/>
        <v>*save*</v>
      </c>
      <c r="O814" s="43" t="str">
        <v>*multiple*</v>
      </c>
      <c r="P814" s="43">
        <f t="shared" si="56"/>
        <v>1</v>
      </c>
      <c r="Q814" s="43" t="str">
        <v>*upput*</v>
      </c>
      <c r="R814" s="43">
        <v>0</v>
      </c>
      <c r="S814" s="43" t="e">
        <f t="shared" si="57"/>
        <v>#DIV/0!</v>
      </c>
      <c r="T814" s="43" t="e">
        <f t="shared" si="58"/>
        <v>#DIV/0!</v>
      </c>
    </row>
    <row r="815" spans="7:20">
      <c r="G815" s="62" cm="1">
        <f t="array" ref="G815">INDEX($D:$D, MATCH(1, (H815 &gt;= $B:$B) * (H815 &lt;= $C:$C), 0))</f>
        <v>15</v>
      </c>
      <c r="H815" s="28">
        <v>46142</v>
      </c>
      <c r="I815" s="29" t="s">
        <v>16</v>
      </c>
      <c r="J815" s="29">
        <v>2</v>
      </c>
      <c r="K815" s="30" t="s">
        <v>377</v>
      </c>
      <c r="M815" s="43" t="str">
        <v>state,</v>
      </c>
      <c r="N815" s="43" t="str">
        <f t="shared" si="55"/>
        <v>*state*</v>
      </c>
      <c r="O815" s="43" t="str">
        <v>*playthroughs*</v>
      </c>
      <c r="P815" s="43">
        <f t="shared" si="56"/>
        <v>1</v>
      </c>
      <c r="Q815" s="43" t="str">
        <v>*collects*</v>
      </c>
      <c r="R815" s="43">
        <v>0</v>
      </c>
      <c r="S815" s="43" t="e">
        <f t="shared" si="57"/>
        <v>#DIV/0!</v>
      </c>
      <c r="T815" s="43" t="e">
        <f t="shared" si="58"/>
        <v>#DIV/0!</v>
      </c>
    </row>
    <row r="816" spans="7:20">
      <c r="G816" s="62" cm="1">
        <f t="array" ref="G816">INDEX($D:$D, MATCH(1, (H816 &gt;= $B:$B) * (H816 &lt;= $C:$C), 0))</f>
        <v>15</v>
      </c>
      <c r="H816" s="28">
        <v>46142</v>
      </c>
      <c r="I816" s="29" t="s">
        <v>78</v>
      </c>
      <c r="J816" s="29">
        <v>1</v>
      </c>
      <c r="K816" s="30" t="s">
        <v>377</v>
      </c>
      <c r="M816" s="43" t="str">
        <v>unlocking,</v>
      </c>
      <c r="N816" s="43" t="str">
        <f t="shared" si="55"/>
        <v>*unlock*</v>
      </c>
      <c r="O816" s="43" t="str">
        <v>*started*</v>
      </c>
      <c r="P816" s="43">
        <f t="shared" si="56"/>
        <v>1</v>
      </c>
      <c r="Q816" s="43" t="str">
        <v>*varis*</v>
      </c>
      <c r="R816" s="43">
        <v>0</v>
      </c>
      <c r="S816" s="43" t="e">
        <f t="shared" si="57"/>
        <v>#DIV/0!</v>
      </c>
      <c r="T816" s="43" t="e">
        <f t="shared" si="58"/>
        <v>#DIV/0!</v>
      </c>
    </row>
    <row r="817" spans="7:20">
      <c r="G817" s="62" cm="1">
        <f t="array" ref="G817">INDEX($D:$D, MATCH(1, (H817 &gt;= $B:$B) * (H817 &lt;= $C:$C), 0))</f>
        <v>15</v>
      </c>
      <c r="H817" s="28">
        <v>46142</v>
      </c>
      <c r="I817" s="29" t="s">
        <v>34</v>
      </c>
      <c r="J817" s="29">
        <v>1</v>
      </c>
      <c r="K817" s="30" t="s">
        <v>377</v>
      </c>
      <c r="M817" s="43" t="str">
        <v>opening,</v>
      </c>
      <c r="N817" s="43" t="str">
        <f t="shared" si="55"/>
        <v>*open*</v>
      </c>
      <c r="O817" s="43" t="str">
        <v>*message*</v>
      </c>
      <c r="P817" s="43">
        <f t="shared" si="56"/>
        <v>1</v>
      </c>
      <c r="Q817" s="43" t="str">
        <v>*acs*</v>
      </c>
      <c r="R817" s="43">
        <v>0</v>
      </c>
      <c r="S817" s="43" t="e">
        <f t="shared" si="57"/>
        <v>#DIV/0!</v>
      </c>
      <c r="T817" s="43" t="e">
        <f t="shared" si="58"/>
        <v>#DIV/0!</v>
      </c>
    </row>
    <row r="818" spans="7:20">
      <c r="G818" s="62" cm="1">
        <f t="array" ref="G818">INDEX($D:$D, MATCH(1, (H818 &gt;= $B:$B) * (H818 &lt;= $C:$C), 0))</f>
        <v>15</v>
      </c>
      <c r="H818" s="28">
        <v>46142</v>
      </c>
      <c r="I818" s="29" t="s">
        <v>26</v>
      </c>
      <c r="J818" s="29">
        <v>1</v>
      </c>
      <c r="K818" s="30" t="s">
        <v>377</v>
      </c>
      <c r="M818" s="43" t="str">
        <v>closing</v>
      </c>
      <c r="N818" s="43" t="str">
        <f t="shared" si="55"/>
        <v>*clos*</v>
      </c>
      <c r="O818" s="43" t="str">
        <v>*tak*</v>
      </c>
      <c r="P818" s="43">
        <f t="shared" si="56"/>
        <v>6</v>
      </c>
      <c r="Q818" s="43" t="str">
        <v>*suggess*</v>
      </c>
      <c r="R818" s="43">
        <v>0</v>
      </c>
      <c r="S818" s="43" t="e">
        <f t="shared" si="57"/>
        <v>#DIV/0!</v>
      </c>
      <c r="T818" s="43" t="e">
        <f t="shared" si="58"/>
        <v>#DIV/0!</v>
      </c>
    </row>
    <row r="819" spans="7:20">
      <c r="G819" s="62" cm="1">
        <f t="array" ref="G819">INDEX($D:$D, MATCH(1, (H819 &gt;= $B:$B) * (H819 &lt;= $C:$C), 0))</f>
        <v>15</v>
      </c>
      <c r="H819" s="28">
        <v>46142</v>
      </c>
      <c r="I819" s="29" t="s">
        <v>28</v>
      </c>
      <c r="J819" s="29">
        <v>1</v>
      </c>
      <c r="K819" s="30" t="s">
        <v>377</v>
      </c>
      <c r="M819" s="43" t="str">
        <v>cutscenes,</v>
      </c>
      <c r="N819" s="43" t="str">
        <f t="shared" si="55"/>
        <v>*cutscenes*</v>
      </c>
      <c r="O819" s="43" t="str">
        <v>*photos*</v>
      </c>
      <c r="P819" s="43">
        <f t="shared" si="56"/>
        <v>6</v>
      </c>
      <c r="Q819" s="43" t="str">
        <v>*interacs*</v>
      </c>
      <c r="R819" s="43">
        <v>0</v>
      </c>
      <c r="S819" s="43" t="e">
        <f t="shared" si="57"/>
        <v>#DIV/0!</v>
      </c>
      <c r="T819" s="43" t="e">
        <f t="shared" si="58"/>
        <v>#DIV/0!</v>
      </c>
    </row>
    <row r="820" spans="7:20">
      <c r="G820" s="62" cm="1">
        <f t="array" ref="G820">INDEX($D:$D, MATCH(1, (H820 &gt;= $B:$B) * (H820 &lt;= $C:$C), 0))</f>
        <v>15</v>
      </c>
      <c r="H820" s="28">
        <v>46142</v>
      </c>
      <c r="I820" s="29" t="s">
        <v>24</v>
      </c>
      <c r="J820" s="29">
        <v>1</v>
      </c>
      <c r="K820" s="30" t="s">
        <v>377</v>
      </c>
      <c r="M820" s="43" t="str">
        <v>dynamically</v>
      </c>
      <c r="N820" s="43" t="str">
        <f t="shared" si="55"/>
        <v>*dynamical*</v>
      </c>
      <c r="O820" s="43" t="str">
        <v>*background*</v>
      </c>
      <c r="P820" s="43">
        <f t="shared" si="56"/>
        <v>1</v>
      </c>
      <c r="Q820" s="43" t="str">
        <v>*walkrunn*</v>
      </c>
      <c r="R820" s="43">
        <v>0</v>
      </c>
      <c r="S820" s="43" t="e">
        <f t="shared" si="57"/>
        <v>#DIV/0!</v>
      </c>
      <c r="T820" s="43" t="e">
        <f t="shared" si="58"/>
        <v>#DIV/0!</v>
      </c>
    </row>
    <row r="821" spans="7:20">
      <c r="G821" s="62" cm="1">
        <f t="array" ref="G821">INDEX($D:$D, MATCH(1, (H821 &gt;= $B:$B) * (H821 &lt;= $C:$C), 0))</f>
        <v>15</v>
      </c>
      <c r="H821" s="28">
        <v>46142</v>
      </c>
      <c r="I821" s="29" t="s">
        <v>16</v>
      </c>
      <c r="J821" s="29">
        <v>3</v>
      </c>
      <c r="K821" s="30" t="s">
        <v>489</v>
      </c>
      <c r="M821" s="43" t="str">
        <v>presetting</v>
      </c>
      <c r="N821" s="43" t="str">
        <f t="shared" si="55"/>
        <v>*presett*</v>
      </c>
      <c r="O821" s="43" t="str">
        <v>*hallway*</v>
      </c>
      <c r="P821" s="43">
        <f t="shared" si="56"/>
        <v>1</v>
      </c>
      <c r="Q821" s="43" t="str">
        <v>*bps*</v>
      </c>
      <c r="R821" s="43">
        <v>0</v>
      </c>
      <c r="S821" s="43" t="e">
        <f t="shared" si="57"/>
        <v>#DIV/0!</v>
      </c>
      <c r="T821" s="43" t="e">
        <f t="shared" si="58"/>
        <v>#DIV/0!</v>
      </c>
    </row>
    <row r="822" spans="7:20">
      <c r="G822" s="62" cm="1">
        <f t="array" ref="G822">INDEX($D:$D, MATCH(1, (H822 &gt;= $B:$B) * (H822 &lt;= $C:$C), 0))</f>
        <v>15</v>
      </c>
      <c r="H822" s="28">
        <v>46142</v>
      </c>
      <c r="I822" s="29" t="s">
        <v>78</v>
      </c>
      <c r="J822" s="29">
        <v>3</v>
      </c>
      <c r="K822" s="30" t="s">
        <v>489</v>
      </c>
      <c r="M822" s="43" t="str">
        <v>random</v>
      </c>
      <c r="N822" s="43" t="str">
        <f t="shared" si="55"/>
        <v>*random*</v>
      </c>
      <c r="O822" s="43">
        <v>0</v>
      </c>
      <c r="P822" s="43">
        <f t="shared" si="56"/>
        <v>0</v>
      </c>
      <c r="Q822" s="43">
        <v>0</v>
      </c>
      <c r="R822" s="43">
        <v>0</v>
      </c>
      <c r="S822" s="43" t="e">
        <f t="shared" si="57"/>
        <v>#DIV/0!</v>
      </c>
      <c r="T822" s="43" t="e">
        <f t="shared" si="58"/>
        <v>#DIV/0!</v>
      </c>
    </row>
    <row r="823" spans="7:20">
      <c r="G823" s="62" cm="1">
        <f t="array" ref="G823">INDEX($D:$D, MATCH(1, (H823 &gt;= $B:$B) * (H823 &lt;= $C:$C), 0))</f>
        <v>15</v>
      </c>
      <c r="H823" s="28">
        <v>46142</v>
      </c>
      <c r="I823" s="29" t="s">
        <v>26</v>
      </c>
      <c r="J823" s="29">
        <v>3</v>
      </c>
      <c r="K823" s="30" t="s">
        <v>489</v>
      </c>
      <c r="M823" s="43" t="str">
        <v>variation</v>
      </c>
      <c r="N823" s="43" t="str">
        <f t="shared" si="55"/>
        <v>*varia*</v>
      </c>
      <c r="P823" s="43">
        <f t="shared" si="56"/>
        <v>0</v>
      </c>
      <c r="Q823" s="43">
        <v>0</v>
      </c>
      <c r="R823" s="43">
        <v>0</v>
      </c>
      <c r="S823" s="43" t="e">
        <f t="shared" si="57"/>
        <v>#DIV/0!</v>
      </c>
      <c r="T823" s="43" t="e">
        <f t="shared" si="58"/>
        <v>#DIV/0!</v>
      </c>
    </row>
    <row r="824" spans="7:20">
      <c r="G824" s="62" cm="1">
        <f t="array" ref="G824">INDEX($D:$D, MATCH(1, (H824 &gt;= $B:$B) * (H824 &lt;= $C:$C), 0))</f>
        <v>15</v>
      </c>
      <c r="H824" s="28">
        <v>46142</v>
      </c>
      <c r="I824" s="29" t="s">
        <v>24</v>
      </c>
      <c r="J824" s="29">
        <v>3</v>
      </c>
      <c r="K824" s="30" t="s">
        <v>489</v>
      </c>
      <c r="M824" s="43" t="str">
        <v>puzzles,</v>
      </c>
      <c r="N824" s="43" t="str">
        <f t="shared" ref="N824:N887" si="59">_xlfn.CONCAT("*",TRIM(CLEAN(_xlfn.REGEXREPLACE(LOWER($M824),$N$51,""))),"*")</f>
        <v>*puzzles*</v>
      </c>
      <c r="P824" s="43">
        <f t="shared" ref="P824:P887" si="60">COUNTIF($K$5:$K$1000,$O824)</f>
        <v>0</v>
      </c>
      <c r="Q824" s="43">
        <v>0</v>
      </c>
      <c r="R824" s="43">
        <v>0</v>
      </c>
      <c r="S824" s="43" t="e">
        <f t="shared" ref="S824:S887" si="61">ROUND(LOG(COUNTA($M$54:$M$1000)/R824,10),2)</f>
        <v>#DIV/0!</v>
      </c>
      <c r="T824" s="43" t="e">
        <f t="shared" si="58"/>
        <v>#DIV/0!</v>
      </c>
    </row>
    <row r="825" spans="7:20">
      <c r="G825" s="62" cm="1">
        <f t="array" ref="G825">INDEX($D:$D, MATCH(1, (H825 &gt;= $B:$B) * (H825 &lt;= $C:$C), 0))</f>
        <v>15</v>
      </c>
      <c r="H825" s="28">
        <v>46142</v>
      </c>
      <c r="I825" s="29" t="s">
        <v>28</v>
      </c>
      <c r="J825" s="29">
        <v>3</v>
      </c>
      <c r="K825" s="30" t="s">
        <v>489</v>
      </c>
      <c r="M825" s="43" t="str">
        <v>tweaked</v>
      </c>
      <c r="N825" s="43" t="str">
        <f t="shared" si="59"/>
        <v>*tweaked*</v>
      </c>
      <c r="P825" s="43">
        <f t="shared" si="60"/>
        <v>0</v>
      </c>
      <c r="Q825" s="43">
        <v>0</v>
      </c>
      <c r="R825" s="43">
        <v>0</v>
      </c>
      <c r="S825" s="43" t="e">
        <f t="shared" si="61"/>
        <v>#DIV/0!</v>
      </c>
      <c r="T825" s="43" t="e">
        <f t="shared" ref="T825:T888" si="62">ROUND($S825/$S824,2)</f>
        <v>#DIV/0!</v>
      </c>
    </row>
    <row r="826" spans="7:20">
      <c r="G826" s="62" cm="1">
        <f t="array" ref="G826">INDEX($D:$D, MATCH(1, (H826 &gt;= $B:$B) * (H826 &lt;= $C:$C), 0))</f>
        <v>15</v>
      </c>
      <c r="H826" s="28">
        <v>46142</v>
      </c>
      <c r="I826" s="29" t="s">
        <v>34</v>
      </c>
      <c r="J826" s="29">
        <v>3</v>
      </c>
      <c r="K826" s="30" t="s">
        <v>489</v>
      </c>
      <c r="M826" s="43" t="str">
        <v>box,</v>
      </c>
      <c r="N826" s="43" t="str">
        <f t="shared" si="59"/>
        <v>*box*</v>
      </c>
      <c r="P826" s="43">
        <f t="shared" si="60"/>
        <v>0</v>
      </c>
      <c r="Q826" s="43">
        <v>0</v>
      </c>
      <c r="R826" s="43">
        <v>0</v>
      </c>
      <c r="S826" s="43" t="e">
        <f t="shared" si="61"/>
        <v>#DIV/0!</v>
      </c>
      <c r="T826" s="43" t="e">
        <f t="shared" si="62"/>
        <v>#DIV/0!</v>
      </c>
    </row>
    <row r="827" spans="7:20">
      <c r="G827" s="62" cm="1">
        <f t="array" ref="G827">INDEX($D:$D, MATCH(1, (H827 &gt;= $B:$B) * (H827 &lt;= $C:$C), 0))</f>
        <v>15</v>
      </c>
      <c r="H827" s="28">
        <v>46142</v>
      </c>
      <c r="I827" s="29" t="s">
        <v>16</v>
      </c>
      <c r="J827" s="29">
        <v>2</v>
      </c>
      <c r="K827" s="30" t="s">
        <v>490</v>
      </c>
      <c r="M827" s="43" t="str">
        <v>buffer</v>
      </c>
      <c r="N827" s="43" t="str">
        <f t="shared" si="59"/>
        <v>*buffer*</v>
      </c>
      <c r="P827" s="43">
        <f t="shared" si="60"/>
        <v>0</v>
      </c>
      <c r="Q827" s="43">
        <v>0</v>
      </c>
      <c r="R827" s="43">
        <v>0</v>
      </c>
      <c r="S827" s="43" t="e">
        <f t="shared" si="61"/>
        <v>#DIV/0!</v>
      </c>
      <c r="T827" s="43" t="e">
        <f t="shared" si="62"/>
        <v>#DIV/0!</v>
      </c>
    </row>
    <row r="828" spans="7:20">
      <c r="G828" s="62" cm="1">
        <f t="array" ref="G828">INDEX($D:$D, MATCH(1, (H828 &gt;= $B:$B) * (H828 &lt;= $C:$C), 0))</f>
        <v>15</v>
      </c>
      <c r="H828" s="28">
        <v>46143</v>
      </c>
      <c r="I828" s="29" t="s">
        <v>16</v>
      </c>
      <c r="J828" s="29">
        <v>2</v>
      </c>
      <c r="K828" s="30" t="s">
        <v>489</v>
      </c>
      <c r="M828" s="43" t="str">
        <v>beginning</v>
      </c>
      <c r="N828" s="43" t="str">
        <f t="shared" si="59"/>
        <v>*beginn*</v>
      </c>
      <c r="P828" s="43">
        <f t="shared" si="60"/>
        <v>0</v>
      </c>
      <c r="Q828" s="43">
        <v>0</v>
      </c>
      <c r="R828" s="43">
        <v>0</v>
      </c>
      <c r="S828" s="43" t="e">
        <f t="shared" si="61"/>
        <v>#DIV/0!</v>
      </c>
      <c r="T828" s="43" t="e">
        <f t="shared" si="62"/>
        <v>#DIV/0!</v>
      </c>
    </row>
    <row r="829" spans="7:20">
      <c r="G829" s="62" cm="1">
        <f t="array" ref="G829">INDEX($D:$D, MATCH(1, (H829 &gt;= $B:$B) * (H829 &lt;= $C:$C), 0))</f>
        <v>15</v>
      </c>
      <c r="H829" s="28">
        <v>46143</v>
      </c>
      <c r="I829" s="29" t="s">
        <v>26</v>
      </c>
      <c r="J829" s="29">
        <v>2</v>
      </c>
      <c r="K829" s="30" t="s">
        <v>489</v>
      </c>
      <c r="M829" s="43" t="str">
        <v>requirements</v>
      </c>
      <c r="N829" s="43" t="str">
        <f t="shared" si="59"/>
        <v>*requirements*</v>
      </c>
      <c r="P829" s="43">
        <f t="shared" si="60"/>
        <v>0</v>
      </c>
      <c r="Q829" s="43">
        <v>0</v>
      </c>
      <c r="R829" s="43">
        <v>0</v>
      </c>
      <c r="S829" s="43" t="e">
        <f t="shared" si="61"/>
        <v>#DIV/0!</v>
      </c>
      <c r="T829" s="43" t="e">
        <f t="shared" si="62"/>
        <v>#DIV/0!</v>
      </c>
    </row>
    <row r="830" spans="7:20">
      <c r="G830" s="62" cm="1">
        <f t="array" ref="G830">INDEX($D:$D, MATCH(1, (H830 &gt;= $B:$B) * (H830 &lt;= $C:$C), 0))</f>
        <v>15</v>
      </c>
      <c r="H830" s="28">
        <v>46143</v>
      </c>
      <c r="I830" s="29" t="s">
        <v>24</v>
      </c>
      <c r="J830" s="29">
        <v>2</v>
      </c>
      <c r="K830" s="30" t="s">
        <v>489</v>
      </c>
      <c r="M830" s="43" t="str">
        <v>guest</v>
      </c>
      <c r="N830" s="43" t="str">
        <f t="shared" si="59"/>
        <v>*guest*</v>
      </c>
      <c r="P830" s="43">
        <f t="shared" si="60"/>
        <v>0</v>
      </c>
      <c r="Q830" s="43">
        <v>0</v>
      </c>
      <c r="R830" s="43">
        <v>0</v>
      </c>
      <c r="S830" s="43" t="e">
        <f t="shared" si="61"/>
        <v>#DIV/0!</v>
      </c>
      <c r="T830" s="43" t="e">
        <f t="shared" si="62"/>
        <v>#DIV/0!</v>
      </c>
    </row>
    <row r="831" spans="7:20">
      <c r="G831" s="62" cm="1">
        <f t="array" ref="G831">INDEX($D:$D, MATCH(1, (H831 &gt;= $B:$B) * (H831 &lt;= $C:$C), 0))</f>
        <v>15</v>
      </c>
      <c r="H831" s="28">
        <v>46143</v>
      </c>
      <c r="I831" s="29" t="s">
        <v>28</v>
      </c>
      <c r="J831" s="29">
        <v>2</v>
      </c>
      <c r="K831" s="30" t="s">
        <v>489</v>
      </c>
      <c r="M831" s="43" t="str">
        <v>movement</v>
      </c>
      <c r="N831" s="43" t="str">
        <f t="shared" si="59"/>
        <v>*movement*</v>
      </c>
      <c r="P831" s="43">
        <f t="shared" si="60"/>
        <v>0</v>
      </c>
      <c r="Q831" s="43">
        <v>0</v>
      </c>
      <c r="R831" s="43">
        <v>0</v>
      </c>
      <c r="S831" s="43" t="e">
        <f t="shared" si="61"/>
        <v>#DIV/0!</v>
      </c>
      <c r="T831" s="43" t="e">
        <f t="shared" si="62"/>
        <v>#DIV/0!</v>
      </c>
    </row>
    <row r="832" spans="7:20">
      <c r="G832" s="62" cm="1">
        <f t="array" ref="G832">INDEX($D:$D, MATCH(1, (H832 &gt;= $B:$B) * (H832 &lt;= $C:$C), 0))</f>
        <v>15</v>
      </c>
      <c r="H832" s="28">
        <v>46143</v>
      </c>
      <c r="I832" s="29" t="s">
        <v>34</v>
      </c>
      <c r="J832" s="29">
        <v>2</v>
      </c>
      <c r="K832" s="30" t="s">
        <v>489</v>
      </c>
      <c r="M832" s="43" t="str">
        <v>(fixed</v>
      </c>
      <c r="N832" s="43" t="str">
        <f t="shared" si="59"/>
        <v>*fixed*</v>
      </c>
      <c r="P832" s="43">
        <f t="shared" si="60"/>
        <v>0</v>
      </c>
      <c r="Q832" s="43">
        <v>0</v>
      </c>
      <c r="R832" s="43">
        <v>0</v>
      </c>
      <c r="S832" s="43" t="e">
        <f t="shared" si="61"/>
        <v>#DIV/0!</v>
      </c>
      <c r="T832" s="43" t="e">
        <f t="shared" si="62"/>
        <v>#DIV/0!</v>
      </c>
    </row>
    <row r="833" spans="7:20">
      <c r="G833" s="62" cm="1">
        <f t="array" ref="G833">INDEX($D:$D, MATCH(1, (H833 &gt;= $B:$B) * (H833 &lt;= $C:$C), 0))</f>
        <v>15</v>
      </c>
      <c r="H833" s="28">
        <v>46143</v>
      </c>
      <c r="I833" s="29" t="s">
        <v>78</v>
      </c>
      <c r="J833" s="29">
        <v>2</v>
      </c>
      <c r="K833" s="30" t="s">
        <v>489</v>
      </c>
      <c r="M833" s="43" t="str">
        <v>trees)</v>
      </c>
      <c r="N833" s="43" t="str">
        <f t="shared" si="59"/>
        <v>*trees*</v>
      </c>
      <c r="P833" s="43">
        <f t="shared" si="60"/>
        <v>0</v>
      </c>
      <c r="Q833" s="43">
        <v>0</v>
      </c>
      <c r="R833" s="43">
        <v>0</v>
      </c>
      <c r="S833" s="43" t="e">
        <f t="shared" si="61"/>
        <v>#DIV/0!</v>
      </c>
      <c r="T833" s="43" t="e">
        <f t="shared" si="62"/>
        <v>#DIV/0!</v>
      </c>
    </row>
    <row r="834" spans="7:20">
      <c r="G834" s="62" cm="1">
        <f t="array" ref="G834">INDEX($D:$D, MATCH(1, (H834 &gt;= $B:$B) * (H834 &lt;= $C:$C), 0))</f>
        <v>15</v>
      </c>
      <c r="H834" s="28">
        <v>46143</v>
      </c>
      <c r="I834" s="29" t="s">
        <v>16</v>
      </c>
      <c r="J834" s="29">
        <v>4</v>
      </c>
      <c r="K834" s="30" t="s">
        <v>491</v>
      </c>
      <c r="M834" s="43" t="str">
        <v>dynamic</v>
      </c>
      <c r="N834" s="43" t="str">
        <f t="shared" si="59"/>
        <v>*dynamic*</v>
      </c>
      <c r="P834" s="43">
        <f t="shared" si="60"/>
        <v>0</v>
      </c>
      <c r="Q834" s="43">
        <v>0</v>
      </c>
      <c r="R834" s="43">
        <v>0</v>
      </c>
      <c r="S834" s="43" t="e">
        <f t="shared" si="61"/>
        <v>#DIV/0!</v>
      </c>
      <c r="T834" s="43" t="e">
        <f t="shared" si="62"/>
        <v>#DIV/0!</v>
      </c>
    </row>
    <row r="835" spans="7:20">
      <c r="G835" s="62" cm="1">
        <f t="array" ref="G835">INDEX($D:$D, MATCH(1, (H835 &gt;= $B:$B) * (H835 &lt;= $C:$C), 0))</f>
        <v>15</v>
      </c>
      <c r="H835" s="28">
        <v>46143</v>
      </c>
      <c r="I835" s="29" t="s">
        <v>26</v>
      </c>
      <c r="J835" s="29">
        <v>4</v>
      </c>
      <c r="K835" s="30" t="s">
        <v>491</v>
      </c>
      <c r="M835" s="43" t="str">
        <v>prompts</v>
      </c>
      <c r="N835" s="43" t="str">
        <f t="shared" si="59"/>
        <v>*prompts*</v>
      </c>
      <c r="P835" s="43">
        <f t="shared" si="60"/>
        <v>0</v>
      </c>
      <c r="Q835" s="43">
        <v>0</v>
      </c>
      <c r="R835" s="43">
        <v>0</v>
      </c>
      <c r="S835" s="43" t="e">
        <f t="shared" si="61"/>
        <v>#DIV/0!</v>
      </c>
      <c r="T835" s="43" t="e">
        <f t="shared" si="62"/>
        <v>#DIV/0!</v>
      </c>
    </row>
    <row r="836" spans="7:20">
      <c r="G836" s="62" cm="1">
        <f t="array" ref="G836">INDEX($D:$D, MATCH(1, (H836 &gt;= $B:$B) * (H836 &lt;= $C:$C), 0))</f>
        <v>15</v>
      </c>
      <c r="H836" s="28">
        <v>46143</v>
      </c>
      <c r="I836" s="29" t="s">
        <v>24</v>
      </c>
      <c r="J836" s="29">
        <v>4</v>
      </c>
      <c r="K836" s="30" t="s">
        <v>491</v>
      </c>
      <c r="M836" s="43" t="str">
        <v>interactible</v>
      </c>
      <c r="N836" s="43" t="str">
        <f t="shared" si="59"/>
        <v>*interact*</v>
      </c>
      <c r="P836" s="43">
        <f t="shared" si="60"/>
        <v>0</v>
      </c>
      <c r="Q836" s="43">
        <v>0</v>
      </c>
      <c r="R836" s="43">
        <v>0</v>
      </c>
      <c r="S836" s="43" t="e">
        <f t="shared" si="61"/>
        <v>#DIV/0!</v>
      </c>
      <c r="T836" s="43" t="e">
        <f t="shared" si="62"/>
        <v>#DIV/0!</v>
      </c>
    </row>
    <row r="837" spans="7:20">
      <c r="G837" s="62" cm="1">
        <f t="array" ref="G837">INDEX($D:$D, MATCH(1, (H837 &gt;= $B:$B) * (H837 &lt;= $C:$C), 0))</f>
        <v>15</v>
      </c>
      <c r="H837" s="28">
        <v>46143</v>
      </c>
      <c r="I837" s="29" t="s">
        <v>28</v>
      </c>
      <c r="J837" s="29">
        <v>4</v>
      </c>
      <c r="K837" s="30" t="s">
        <v>491</v>
      </c>
      <c r="M837" s="43" t="str">
        <v>doors.</v>
      </c>
      <c r="N837" s="43" t="str">
        <f t="shared" si="59"/>
        <v>*doors*</v>
      </c>
      <c r="P837" s="43">
        <f t="shared" si="60"/>
        <v>0</v>
      </c>
      <c r="Q837" s="43">
        <v>0</v>
      </c>
      <c r="R837" s="43">
        <v>0</v>
      </c>
      <c r="S837" s="43" t="e">
        <f t="shared" si="61"/>
        <v>#DIV/0!</v>
      </c>
      <c r="T837" s="43" t="e">
        <f t="shared" si="62"/>
        <v>#DIV/0!</v>
      </c>
    </row>
    <row r="838" spans="7:20">
      <c r="G838" s="62" cm="1">
        <f t="array" ref="G838">INDEX($D:$D, MATCH(1, (H838 &gt;= $B:$B) * (H838 &lt;= $C:$C), 0))</f>
        <v>15</v>
      </c>
      <c r="H838" s="28">
        <v>46143</v>
      </c>
      <c r="I838" s="29" t="s">
        <v>34</v>
      </c>
      <c r="J838" s="29">
        <v>4</v>
      </c>
      <c r="K838" s="30" t="s">
        <v>491</v>
      </c>
      <c r="M838" s="43" t="str">
        <v>settings.</v>
      </c>
      <c r="N838" s="43" t="str">
        <f t="shared" si="59"/>
        <v>*setts*</v>
      </c>
      <c r="P838" s="43">
        <f t="shared" si="60"/>
        <v>0</v>
      </c>
      <c r="Q838" s="43">
        <v>0</v>
      </c>
      <c r="R838" s="43">
        <v>0</v>
      </c>
      <c r="S838" s="43" t="e">
        <f t="shared" si="61"/>
        <v>#DIV/0!</v>
      </c>
      <c r="T838" s="43" t="e">
        <f t="shared" si="62"/>
        <v>#DIV/0!</v>
      </c>
    </row>
    <row r="839" spans="7:20">
      <c r="G839" s="62" cm="1">
        <f t="array" ref="G839">INDEX($D:$D, MATCH(1, (H839 &gt;= $B:$B) * (H839 &lt;= $C:$C), 0))</f>
        <v>15</v>
      </c>
      <c r="H839" s="28">
        <v>46143</v>
      </c>
      <c r="I839" s="29" t="s">
        <v>78</v>
      </c>
      <c r="J839" s="29">
        <v>4</v>
      </c>
      <c r="K839" s="30" t="s">
        <v>491</v>
      </c>
      <c r="M839" s="43" t="str">
        <v>shape</v>
      </c>
      <c r="N839" s="43" t="str">
        <f t="shared" si="59"/>
        <v>*shape*</v>
      </c>
      <c r="P839" s="43">
        <f t="shared" si="60"/>
        <v>0</v>
      </c>
      <c r="Q839" s="43">
        <v>0</v>
      </c>
      <c r="R839" s="43">
        <v>0</v>
      </c>
      <c r="S839" s="43" t="e">
        <f t="shared" si="61"/>
        <v>#DIV/0!</v>
      </c>
      <c r="T839" s="43" t="e">
        <f t="shared" si="62"/>
        <v>#DIV/0!</v>
      </c>
    </row>
    <row r="840" spans="7:20">
      <c r="G840" s="62" cm="1">
        <f t="array" ref="G840">INDEX($D:$D, MATCH(1, (H840 &gt;= $B:$B) * (H840 &lt;= $C:$C), 0))</f>
        <v>15</v>
      </c>
      <c r="H840" s="28">
        <v>46143</v>
      </c>
      <c r="I840" s="29" t="s">
        <v>16</v>
      </c>
      <c r="J840" s="29">
        <v>2</v>
      </c>
      <c r="K840" s="30" t="s">
        <v>492</v>
      </c>
      <c r="M840" s="43" t="str">
        <v>populated</v>
      </c>
      <c r="N840" s="43" t="str">
        <f t="shared" si="59"/>
        <v>*popul*</v>
      </c>
      <c r="P840" s="43">
        <f t="shared" si="60"/>
        <v>0</v>
      </c>
      <c r="Q840" s="43">
        <v>0</v>
      </c>
      <c r="R840" s="43">
        <v>0</v>
      </c>
      <c r="S840" s="43" t="e">
        <f t="shared" si="61"/>
        <v>#DIV/0!</v>
      </c>
      <c r="T840" s="43" t="e">
        <f t="shared" si="62"/>
        <v>#DIV/0!</v>
      </c>
    </row>
    <row r="841" spans="7:20">
      <c r="G841" s="62" cm="1">
        <f t="array" ref="G841">INDEX($D:$D, MATCH(1, (H841 &gt;= $B:$B) * (H841 &lt;= $C:$C), 0))</f>
        <v>15</v>
      </c>
      <c r="H841" s="28">
        <v>46145</v>
      </c>
      <c r="I841" s="29" t="s">
        <v>16</v>
      </c>
      <c r="J841" s="29">
        <v>1</v>
      </c>
      <c r="K841" s="30" t="s">
        <v>493</v>
      </c>
      <c r="M841" s="43" t="str">
        <v>json</v>
      </c>
      <c r="N841" s="43" t="str">
        <f t="shared" si="59"/>
        <v>*json*</v>
      </c>
      <c r="P841" s="43">
        <f t="shared" si="60"/>
        <v>0</v>
      </c>
      <c r="Q841" s="43">
        <v>0</v>
      </c>
      <c r="R841" s="43">
        <v>0</v>
      </c>
      <c r="S841" s="43" t="e">
        <f t="shared" si="61"/>
        <v>#DIV/0!</v>
      </c>
      <c r="T841" s="43" t="e">
        <f t="shared" si="62"/>
        <v>#DIV/0!</v>
      </c>
    </row>
    <row r="842" spans="7:20">
      <c r="G842" s="62" t="str" cm="1">
        <f t="array" ref="G842">INDEX($D:$D, MATCH(1, (H842 &gt;= $B:$B) * (H842 &lt;= $C:$C), 0))</f>
        <v>SPRING FINALS</v>
      </c>
      <c r="H842" s="28">
        <v>46146</v>
      </c>
      <c r="I842" s="29" t="s">
        <v>16</v>
      </c>
      <c r="J842" s="29">
        <v>6</v>
      </c>
      <c r="K842" s="30" t="s">
        <v>493</v>
      </c>
      <c r="M842" s="43" t="str">
        <v>data</v>
      </c>
      <c r="N842" s="43" t="str">
        <f t="shared" si="59"/>
        <v>*data*</v>
      </c>
      <c r="P842" s="43">
        <f t="shared" si="60"/>
        <v>0</v>
      </c>
      <c r="Q842" s="43">
        <v>0</v>
      </c>
      <c r="R842" s="43">
        <v>0</v>
      </c>
      <c r="S842" s="43" t="e">
        <f t="shared" si="61"/>
        <v>#DIV/0!</v>
      </c>
      <c r="T842" s="43" t="e">
        <f t="shared" si="62"/>
        <v>#DIV/0!</v>
      </c>
    </row>
    <row r="843" spans="7:20">
      <c r="G843" s="62" cm="1">
        <f t="array" ref="G843">INDEX($D:$D, MATCH(1, (H843 &gt;= $B:$B) * (H843 &lt;= $C:$C), 0))</f>
        <v>0</v>
      </c>
      <c r="M843" s="43" t="str">
        <v>packaged</v>
      </c>
      <c r="N843" s="43" t="str">
        <f t="shared" si="59"/>
        <v>*packaged*</v>
      </c>
      <c r="P843" s="43">
        <f t="shared" si="60"/>
        <v>0</v>
      </c>
      <c r="Q843" s="43">
        <v>0</v>
      </c>
      <c r="R843" s="43">
        <v>0</v>
      </c>
      <c r="S843" s="43" t="e">
        <f t="shared" si="61"/>
        <v>#DIV/0!</v>
      </c>
      <c r="T843" s="43" t="e">
        <f t="shared" si="62"/>
        <v>#DIV/0!</v>
      </c>
    </row>
    <row r="844" spans="7:20">
      <c r="G844" s="62" cm="1">
        <f t="array" ref="G844">INDEX($D:$D, MATCH(1, (H844 &gt;= $B:$B) * (H844 &lt;= $C:$C), 0))</f>
        <v>0</v>
      </c>
      <c r="M844" s="43" t="str">
        <v>Investigated</v>
      </c>
      <c r="N844" s="43" t="str">
        <f t="shared" si="59"/>
        <v>*investig*</v>
      </c>
      <c r="P844" s="43">
        <f t="shared" si="60"/>
        <v>0</v>
      </c>
      <c r="Q844" s="43">
        <v>0</v>
      </c>
      <c r="R844" s="43">
        <v>0</v>
      </c>
      <c r="S844" s="43" t="e">
        <f t="shared" si="61"/>
        <v>#DIV/0!</v>
      </c>
      <c r="T844" s="43" t="e">
        <f t="shared" si="62"/>
        <v>#DIV/0!</v>
      </c>
    </row>
    <row r="845" spans="7:20">
      <c r="G845" s="62" cm="1">
        <f t="array" ref="G845">INDEX($D:$D, MATCH(1, (H845 &gt;= $B:$B) * (H845 &lt;= $C:$C), 0))</f>
        <v>0</v>
      </c>
      <c r="M845" s="43" t="str">
        <v>familiarized</v>
      </c>
      <c r="N845" s="43" t="str">
        <f t="shared" si="59"/>
        <v>*familiar*</v>
      </c>
      <c r="P845" s="43">
        <f t="shared" si="60"/>
        <v>0</v>
      </c>
      <c r="Q845" s="43">
        <v>0</v>
      </c>
      <c r="R845" s="43">
        <v>0</v>
      </c>
      <c r="S845" s="43" t="e">
        <f t="shared" si="61"/>
        <v>#DIV/0!</v>
      </c>
      <c r="T845" s="43" t="e">
        <f t="shared" si="62"/>
        <v>#DIV/0!</v>
      </c>
    </row>
    <row r="846" spans="7:20">
      <c r="G846" s="62" cm="1">
        <f t="array" ref="G846">INDEX($D:$D, MATCH(1, (H846 &gt;= $B:$B) * (H846 &lt;= $C:$C), 0))</f>
        <v>0</v>
      </c>
      <c r="M846" s="43" t="str">
        <v>binding</v>
      </c>
      <c r="N846" s="43" t="str">
        <f t="shared" si="59"/>
        <v>*bind*</v>
      </c>
      <c r="P846" s="43">
        <f t="shared" si="60"/>
        <v>0</v>
      </c>
      <c r="Q846" s="43">
        <v>0</v>
      </c>
      <c r="R846" s="43">
        <v>0</v>
      </c>
      <c r="S846" s="43" t="e">
        <f t="shared" si="61"/>
        <v>#DIV/0!</v>
      </c>
      <c r="T846" s="43" t="e">
        <f t="shared" si="62"/>
        <v>#DIV/0!</v>
      </c>
    </row>
    <row r="847" spans="7:20">
      <c r="G847" s="62" cm="1">
        <f t="array" ref="G847">INDEX($D:$D, MATCH(1, (H847 &gt;= $B:$B) * (H847 &lt;= $C:$C), 0))</f>
        <v>0</v>
      </c>
      <c r="M847" s="43" t="str">
        <v>particles</v>
      </c>
      <c r="N847" s="43" t="str">
        <f t="shared" si="59"/>
        <v>*particles*</v>
      </c>
      <c r="P847" s="43">
        <f t="shared" si="60"/>
        <v>0</v>
      </c>
      <c r="Q847" s="43">
        <v>0</v>
      </c>
      <c r="R847" s="43">
        <v>0</v>
      </c>
      <c r="S847" s="43" t="e">
        <f t="shared" si="61"/>
        <v>#DIV/0!</v>
      </c>
      <c r="T847" s="43" t="e">
        <f t="shared" si="62"/>
        <v>#DIV/0!</v>
      </c>
    </row>
    <row r="848" spans="7:20">
      <c r="G848" s="62" cm="1">
        <f t="array" ref="G848">INDEX($D:$D, MATCH(1, (H848 &gt;= $B:$B) * (H848 &lt;= $C:$C), 0))</f>
        <v>0</v>
      </c>
      <c r="M848" s="43" t="str">
        <v>unlock</v>
      </c>
      <c r="N848" s="43" t="str">
        <f t="shared" si="59"/>
        <v>*unlock*</v>
      </c>
      <c r="P848" s="43">
        <f t="shared" si="60"/>
        <v>0</v>
      </c>
      <c r="Q848" s="43">
        <v>0</v>
      </c>
      <c r="R848" s="43">
        <v>0</v>
      </c>
      <c r="S848" s="43" t="e">
        <f t="shared" si="61"/>
        <v>#DIV/0!</v>
      </c>
      <c r="T848" s="43" t="e">
        <f t="shared" si="62"/>
        <v>#DIV/0!</v>
      </c>
    </row>
    <row r="849" spans="7:20">
      <c r="G849" s="62" cm="1">
        <f t="array" ref="G849">INDEX($D:$D, MATCH(1, (H849 &gt;= $B:$B) * (H849 &lt;= $C:$C), 0))</f>
        <v>0</v>
      </c>
      <c r="M849" s="43" t="str">
        <v>editor</v>
      </c>
      <c r="N849" s="43" t="str">
        <f t="shared" si="59"/>
        <v>*editor*</v>
      </c>
      <c r="P849" s="43">
        <f t="shared" si="60"/>
        <v>0</v>
      </c>
      <c r="Q849" s="43">
        <v>0</v>
      </c>
      <c r="R849" s="43">
        <v>0</v>
      </c>
      <c r="S849" s="43" t="e">
        <f t="shared" si="61"/>
        <v>#DIV/0!</v>
      </c>
      <c r="T849" s="43" t="e">
        <f t="shared" si="62"/>
        <v>#DIV/0!</v>
      </c>
    </row>
    <row r="850" spans="7:20">
      <c r="G850" s="62" cm="1">
        <f t="array" ref="G850">INDEX($D:$D, MATCH(1, (H850 &gt;= $B:$B) * (H850 &lt;= $C:$C), 0))</f>
        <v>0</v>
      </c>
      <c r="M850" s="43" t="str">
        <v>drums</v>
      </c>
      <c r="N850" s="43" t="str">
        <f t="shared" si="59"/>
        <v>*drums*</v>
      </c>
      <c r="P850" s="43">
        <f t="shared" si="60"/>
        <v>0</v>
      </c>
      <c r="Q850" s="43">
        <v>0</v>
      </c>
      <c r="R850" s="43">
        <v>0</v>
      </c>
      <c r="S850" s="43" t="e">
        <f t="shared" si="61"/>
        <v>#DIV/0!</v>
      </c>
      <c r="T850" s="43" t="e">
        <f t="shared" si="62"/>
        <v>#DIV/0!</v>
      </c>
    </row>
    <row r="851" spans="7:20">
      <c r="G851" s="62" cm="1">
        <f t="array" ref="G851">INDEX($D:$D, MATCH(1, (H851 &gt;= $B:$B) * (H851 &lt;= $C:$C), 0))</f>
        <v>0</v>
      </c>
      <c r="M851" s="43" t="str">
        <v>solo</v>
      </c>
      <c r="N851" s="43" t="str">
        <f t="shared" si="59"/>
        <v>*solo*</v>
      </c>
      <c r="P851" s="43">
        <f t="shared" si="60"/>
        <v>0</v>
      </c>
      <c r="Q851" s="43">
        <v>0</v>
      </c>
      <c r="R851" s="43">
        <v>0</v>
      </c>
      <c r="S851" s="43" t="e">
        <f t="shared" si="61"/>
        <v>#DIV/0!</v>
      </c>
      <c r="T851" s="43" t="e">
        <f t="shared" si="62"/>
        <v>#DIV/0!</v>
      </c>
    </row>
    <row r="852" spans="7:20">
      <c r="G852" s="62" cm="1">
        <f t="array" ref="G852">INDEX($D:$D, MATCH(1, (H852 &gt;= $B:$B) * (H852 &lt;= $C:$C), 0))</f>
        <v>0</v>
      </c>
      <c r="M852" s="43" t="str">
        <v>then</v>
      </c>
      <c r="N852" s="43" t="str">
        <f t="shared" si="59"/>
        <v>*then*</v>
      </c>
      <c r="P852" s="43">
        <f t="shared" si="60"/>
        <v>0</v>
      </c>
      <c r="Q852" s="43">
        <v>0</v>
      </c>
      <c r="R852" s="43">
        <v>0</v>
      </c>
      <c r="S852" s="43" t="e">
        <f t="shared" si="61"/>
        <v>#DIV/0!</v>
      </c>
      <c r="T852" s="43" t="e">
        <f t="shared" si="62"/>
        <v>#DIV/0!</v>
      </c>
    </row>
    <row r="853" spans="7:20">
      <c r="G853" s="62" cm="1">
        <f t="array" ref="G853">INDEX($D:$D, MATCH(1, (H853 &gt;= $B:$B) * (H853 &lt;= $C:$C), 0))</f>
        <v>0</v>
      </c>
      <c r="M853" s="43" t="str">
        <v>partially</v>
      </c>
      <c r="N853" s="43" t="str">
        <f t="shared" si="59"/>
        <v>*partial*</v>
      </c>
      <c r="P853" s="43">
        <f t="shared" si="60"/>
        <v>0</v>
      </c>
      <c r="Q853" s="43">
        <v>0</v>
      </c>
      <c r="R853" s="43">
        <v>0</v>
      </c>
      <c r="S853" s="43" t="e">
        <f t="shared" si="61"/>
        <v>#DIV/0!</v>
      </c>
      <c r="T853" s="43" t="e">
        <f t="shared" si="62"/>
        <v>#DIV/0!</v>
      </c>
    </row>
    <row r="854" spans="7:20">
      <c r="G854" s="62" cm="1">
        <f t="array" ref="G854">INDEX($D:$D, MATCH(1, (H854 &gt;= $B:$B) * (H854 &lt;= $C:$C), 0))</f>
        <v>0</v>
      </c>
      <c r="M854" s="43" t="str">
        <v>Failed</v>
      </c>
      <c r="N854" s="43" t="str">
        <f t="shared" si="59"/>
        <v>*failed*</v>
      </c>
      <c r="P854" s="43">
        <f t="shared" si="60"/>
        <v>0</v>
      </c>
      <c r="Q854" s="43">
        <v>0</v>
      </c>
      <c r="R854" s="43">
        <v>0</v>
      </c>
      <c r="S854" s="43" t="e">
        <f t="shared" si="61"/>
        <v>#DIV/0!</v>
      </c>
      <c r="T854" s="43" t="e">
        <f t="shared" si="62"/>
        <v>#DIV/0!</v>
      </c>
    </row>
    <row r="855" spans="7:20">
      <c r="G855" s="62" cm="1">
        <f t="array" ref="G855">INDEX($D:$D, MATCH(1, (H855 &gt;= $B:$B) * (H855 &lt;= $C:$C), 0))</f>
        <v>0</v>
      </c>
      <c r="M855" s="43" t="str">
        <v>things</v>
      </c>
      <c r="N855" s="43" t="str">
        <f t="shared" si="59"/>
        <v>*ths*</v>
      </c>
      <c r="P855" s="43">
        <f t="shared" si="60"/>
        <v>0</v>
      </c>
      <c r="Q855" s="43">
        <v>0</v>
      </c>
      <c r="R855" s="43">
        <v>0</v>
      </c>
      <c r="S855" s="43" t="e">
        <f t="shared" si="61"/>
        <v>#DIV/0!</v>
      </c>
      <c r="T855" s="43" t="e">
        <f t="shared" si="62"/>
        <v>#DIV/0!</v>
      </c>
    </row>
    <row r="856" spans="7:20">
      <c r="G856" s="62" cm="1">
        <f t="array" ref="G856">INDEX($D:$D, MATCH(1, (H856 &gt;= $B:$B) * (H856 &lt;= $C:$C), 0))</f>
        <v>0</v>
      </c>
      <c r="M856" s="43" t="str">
        <v>Optimizing</v>
      </c>
      <c r="N856" s="43" t="str">
        <f t="shared" si="59"/>
        <v>*optimiz*</v>
      </c>
      <c r="P856" s="43">
        <f t="shared" si="60"/>
        <v>0</v>
      </c>
      <c r="Q856" s="43">
        <v>0</v>
      </c>
      <c r="R856" s="43">
        <v>0</v>
      </c>
      <c r="S856" s="43" t="e">
        <f t="shared" si="61"/>
        <v>#DIV/0!</v>
      </c>
      <c r="T856" s="43" t="e">
        <f t="shared" si="62"/>
        <v>#DIV/0!</v>
      </c>
    </row>
    <row r="857" spans="7:20">
      <c r="G857" s="62" cm="1">
        <f t="array" ref="G857">INDEX($D:$D, MATCH(1, (H857 &gt;= $B:$B) * (H857 &lt;= $C:$C), 0))</f>
        <v>0</v>
      </c>
      <c r="M857" s="43" t="str">
        <v>signs</v>
      </c>
      <c r="N857" s="43" t="str">
        <f t="shared" si="59"/>
        <v>*signs*</v>
      </c>
      <c r="P857" s="43">
        <f t="shared" si="60"/>
        <v>0</v>
      </c>
      <c r="Q857" s="43">
        <v>0</v>
      </c>
      <c r="R857" s="43">
        <v>0</v>
      </c>
      <c r="S857" s="43" t="e">
        <f t="shared" si="61"/>
        <v>#DIV/0!</v>
      </c>
      <c r="T857" s="43" t="e">
        <f t="shared" si="62"/>
        <v>#DIV/0!</v>
      </c>
    </row>
    <row r="858" spans="7:20">
      <c r="G858" s="62" cm="1">
        <f t="array" ref="G858">INDEX($D:$D, MATCH(1, (H858 &gt;= $B:$B) * (H858 &lt;= $C:$C), 0))</f>
        <v>0</v>
      </c>
      <c r="M858" s="43" t="str">
        <v>dialogue</v>
      </c>
      <c r="N858" s="43" t="str">
        <f t="shared" si="59"/>
        <v>*dialogue*</v>
      </c>
      <c r="P858" s="43">
        <f t="shared" si="60"/>
        <v>0</v>
      </c>
      <c r="Q858" s="43">
        <v>0</v>
      </c>
      <c r="R858" s="43">
        <v>0</v>
      </c>
      <c r="S858" s="43" t="e">
        <f t="shared" si="61"/>
        <v>#DIV/0!</v>
      </c>
      <c r="T858" s="43" t="e">
        <f t="shared" si="62"/>
        <v>#DIV/0!</v>
      </c>
    </row>
    <row r="859" spans="7:20">
      <c r="G859" s="62" cm="1">
        <f t="array" ref="G859">INDEX($D:$D, MATCH(1, (H859 &gt;= $B:$B) * (H859 &lt;= $C:$C), 0))</f>
        <v>0</v>
      </c>
      <c r="M859" s="43" t="str">
        <v>widgets.</v>
      </c>
      <c r="N859" s="43" t="str">
        <f t="shared" si="59"/>
        <v>*widgets*</v>
      </c>
      <c r="P859" s="43">
        <f t="shared" si="60"/>
        <v>0</v>
      </c>
      <c r="Q859" s="43">
        <v>0</v>
      </c>
      <c r="R859" s="43">
        <v>0</v>
      </c>
      <c r="S859" s="43" t="e">
        <f t="shared" si="61"/>
        <v>#DIV/0!</v>
      </c>
      <c r="T859" s="43" t="e">
        <f t="shared" si="62"/>
        <v>#DIV/0!</v>
      </c>
    </row>
    <row r="860" spans="7:20">
      <c r="G860" s="62" cm="1">
        <f t="array" ref="G860">INDEX($D:$D, MATCH(1, (H860 &gt;= $B:$B) * (H860 &lt;= $C:$C), 0))</f>
        <v>0</v>
      </c>
      <c r="M860" s="43" t="str">
        <v>package</v>
      </c>
      <c r="N860" s="43" t="str">
        <f t="shared" si="59"/>
        <v>*package*</v>
      </c>
      <c r="P860" s="43">
        <f t="shared" si="60"/>
        <v>0</v>
      </c>
      <c r="Q860" s="43">
        <v>0</v>
      </c>
      <c r="R860" s="43">
        <v>0</v>
      </c>
      <c r="S860" s="43" t="e">
        <f t="shared" si="61"/>
        <v>#DIV/0!</v>
      </c>
      <c r="T860" s="43" t="e">
        <f t="shared" si="62"/>
        <v>#DIV/0!</v>
      </c>
    </row>
    <row r="861" spans="7:20">
      <c r="G861" s="62" cm="1">
        <f t="array" ref="G861">INDEX($D:$D, MATCH(1, (H861 &gt;= $B:$B) * (H861 &lt;= $C:$C), 0))</f>
        <v>0</v>
      </c>
      <c r="M861" s="43" t="str">
        <v>programming,</v>
      </c>
      <c r="N861" s="43" t="str">
        <f t="shared" si="59"/>
        <v>*programm*</v>
      </c>
      <c r="P861" s="43">
        <f t="shared" si="60"/>
        <v>0</v>
      </c>
      <c r="Q861" s="43">
        <v>0</v>
      </c>
      <c r="R861" s="43">
        <v>0</v>
      </c>
      <c r="S861" s="43" t="e">
        <f t="shared" si="61"/>
        <v>#DIV/0!</v>
      </c>
      <c r="T861" s="43" t="e">
        <f t="shared" si="62"/>
        <v>#DIV/0!</v>
      </c>
    </row>
    <row r="862" spans="7:20">
      <c r="G862" s="62" cm="1">
        <f t="array" ref="G862">INDEX($D:$D, MATCH(1, (H862 &gt;= $B:$B) * (H862 &lt;= $C:$C), 0))</f>
        <v>0</v>
      </c>
      <c r="M862" s="43" t="str">
        <v>tutorial</v>
      </c>
      <c r="N862" s="43" t="str">
        <f t="shared" si="59"/>
        <v>*tutorial*</v>
      </c>
      <c r="P862" s="43">
        <f t="shared" si="60"/>
        <v>0</v>
      </c>
      <c r="Q862" s="43">
        <v>0</v>
      </c>
      <c r="R862" s="43">
        <v>0</v>
      </c>
      <c r="S862" s="43" t="e">
        <f t="shared" si="61"/>
        <v>#DIV/0!</v>
      </c>
      <c r="T862" s="43" t="e">
        <f t="shared" si="62"/>
        <v>#DIV/0!</v>
      </c>
    </row>
    <row r="863" spans="7:20">
      <c r="G863" s="62" cm="1">
        <f t="array" ref="G863">INDEX($D:$D, MATCH(1, (H863 &gt;= $B:$B) * (H863 &lt;= $C:$C), 0))</f>
        <v>0</v>
      </c>
      <c r="M863" s="43" t="str">
        <v>sequences.</v>
      </c>
      <c r="N863" s="43" t="str">
        <f t="shared" si="59"/>
        <v>*sequences*</v>
      </c>
      <c r="P863" s="43">
        <f t="shared" si="60"/>
        <v>0</v>
      </c>
      <c r="Q863" s="43">
        <v>0</v>
      </c>
      <c r="R863" s="43">
        <v>0</v>
      </c>
      <c r="S863" s="43" t="e">
        <f t="shared" si="61"/>
        <v>#DIV/0!</v>
      </c>
      <c r="T863" s="43" t="e">
        <f t="shared" si="62"/>
        <v>#DIV/0!</v>
      </c>
    </row>
    <row r="864" spans="7:20">
      <c r="G864" s="62" cm="1">
        <f t="array" ref="G864">INDEX($D:$D, MATCH(1, (H864 &gt;= $B:$B) * (H864 &lt;= $C:$C), 0))</f>
        <v>0</v>
      </c>
      <c r="M864" s="43" t="str">
        <v>NPCs</v>
      </c>
      <c r="N864" s="43" t="str">
        <f t="shared" si="59"/>
        <v>*npcs*</v>
      </c>
      <c r="P864" s="43">
        <f t="shared" si="60"/>
        <v>0</v>
      </c>
      <c r="Q864" s="43">
        <v>0</v>
      </c>
      <c r="R864" s="43">
        <v>0</v>
      </c>
      <c r="S864" s="43" t="e">
        <f t="shared" si="61"/>
        <v>#DIV/0!</v>
      </c>
      <c r="T864" s="43" t="e">
        <f t="shared" si="62"/>
        <v>#DIV/0!</v>
      </c>
    </row>
    <row r="865" spans="7:20">
      <c r="G865" s="62" cm="1">
        <f t="array" ref="G865">INDEX($D:$D, MATCH(1, (H865 &gt;= $B:$B) * (H865 &lt;= $C:$C), 0))</f>
        <v>0</v>
      </c>
      <c r="M865" s="43" t="str">
        <v>chains.</v>
      </c>
      <c r="N865" s="43" t="str">
        <f t="shared" si="59"/>
        <v>*chains*</v>
      </c>
      <c r="P865" s="43">
        <f t="shared" si="60"/>
        <v>0</v>
      </c>
      <c r="Q865" s="43">
        <v>0</v>
      </c>
      <c r="R865" s="43">
        <v>0</v>
      </c>
      <c r="S865" s="43" t="e">
        <f t="shared" si="61"/>
        <v>#DIV/0!</v>
      </c>
      <c r="T865" s="43" t="e">
        <f t="shared" si="62"/>
        <v>#DIV/0!</v>
      </c>
    </row>
    <row r="866" spans="7:20">
      <c r="G866" s="62" cm="1">
        <f t="array" ref="G866">INDEX($D:$D, MATCH(1, (H866 &gt;= $B:$B) * (H866 &lt;= $C:$C), 0))</f>
        <v>0</v>
      </c>
      <c r="M866" s="43" t="str">
        <v>summit</v>
      </c>
      <c r="N866" s="43" t="str">
        <f t="shared" si="59"/>
        <v>*summit*</v>
      </c>
      <c r="P866" s="43">
        <f t="shared" si="60"/>
        <v>0</v>
      </c>
      <c r="Q866" s="43">
        <v>0</v>
      </c>
      <c r="R866" s="43">
        <v>0</v>
      </c>
      <c r="S866" s="43" t="e">
        <f t="shared" si="61"/>
        <v>#DIV/0!</v>
      </c>
      <c r="T866" s="43" t="e">
        <f t="shared" si="62"/>
        <v>#DIV/0!</v>
      </c>
    </row>
    <row r="867" spans="7:20">
      <c r="G867" s="62" cm="1">
        <f t="array" ref="G867">INDEX($D:$D, MATCH(1, (H867 &gt;= $B:$B) * (H867 &lt;= $C:$C), 0))</f>
        <v>0</v>
      </c>
      <c r="M867" s="43" t="str">
        <v>them.</v>
      </c>
      <c r="N867" s="43" t="str">
        <f t="shared" si="59"/>
        <v>*them*</v>
      </c>
      <c r="P867" s="43">
        <f t="shared" si="60"/>
        <v>0</v>
      </c>
      <c r="Q867" s="43">
        <v>0</v>
      </c>
      <c r="R867" s="43">
        <v>0</v>
      </c>
      <c r="S867" s="43" t="e">
        <f t="shared" si="61"/>
        <v>#DIV/0!</v>
      </c>
      <c r="T867" s="43" t="e">
        <f t="shared" si="62"/>
        <v>#DIV/0!</v>
      </c>
    </row>
    <row r="868" spans="7:20">
      <c r="G868" s="62" cm="1">
        <f t="array" ref="G868">INDEX($D:$D, MATCH(1, (H868 &gt;= $B:$B) * (H868 &lt;= $C:$C), 0))</f>
        <v>0</v>
      </c>
      <c r="M868" s="43" t="str">
        <v>NPC</v>
      </c>
      <c r="N868" s="43" t="str">
        <f t="shared" si="59"/>
        <v>*npc*</v>
      </c>
      <c r="P868" s="43">
        <f t="shared" si="60"/>
        <v>0</v>
      </c>
      <c r="Q868" s="43">
        <v>0</v>
      </c>
      <c r="R868" s="43">
        <v>0</v>
      </c>
      <c r="S868" s="43" t="e">
        <f t="shared" si="61"/>
        <v>#DIV/0!</v>
      </c>
      <c r="T868" s="43" t="e">
        <f t="shared" si="62"/>
        <v>#DIV/0!</v>
      </c>
    </row>
    <row r="869" spans="7:20">
      <c r="G869" s="62" cm="1">
        <f t="array" ref="G869">INDEX($D:$D, MATCH(1, (H869 &gt;= $B:$B) * (H869 &lt;= $C:$C), 0))</f>
        <v>0</v>
      </c>
      <c r="M869" s="43" t="str">
        <v>models</v>
      </c>
      <c r="N869" s="43" t="str">
        <f t="shared" si="59"/>
        <v>*models*</v>
      </c>
      <c r="P869" s="43">
        <f t="shared" si="60"/>
        <v>0</v>
      </c>
      <c r="Q869" s="43">
        <v>0</v>
      </c>
      <c r="R869" s="43">
        <v>0</v>
      </c>
      <c r="S869" s="43" t="e">
        <f t="shared" si="61"/>
        <v>#DIV/0!</v>
      </c>
      <c r="T869" s="43" t="e">
        <f t="shared" si="62"/>
        <v>#DIV/0!</v>
      </c>
    </row>
    <row r="870" spans="7:20">
      <c r="G870" s="62" cm="1">
        <f t="array" ref="G870">INDEX($D:$D, MATCH(1, (H870 &gt;= $B:$B) * (H870 &lt;= $C:$C), 0))</f>
        <v>0</v>
      </c>
      <c r="M870" s="43" t="str">
        <v>Boat</v>
      </c>
      <c r="N870" s="43" t="str">
        <f t="shared" si="59"/>
        <v>*boat*</v>
      </c>
      <c r="P870" s="43">
        <f t="shared" si="60"/>
        <v>0</v>
      </c>
      <c r="Q870" s="43">
        <v>0</v>
      </c>
      <c r="R870" s="43">
        <v>0</v>
      </c>
      <c r="S870" s="43" t="e">
        <f t="shared" si="61"/>
        <v>#DIV/0!</v>
      </c>
      <c r="T870" s="43" t="e">
        <f t="shared" si="62"/>
        <v>#DIV/0!</v>
      </c>
    </row>
    <row r="871" spans="7:20">
      <c r="G871" s="62" cm="1">
        <f t="array" ref="G871">INDEX($D:$D, MATCH(1, (H871 &gt;= $B:$B) * (H871 &lt;= $C:$C), 0))</f>
        <v>0</v>
      </c>
      <c r="M871" s="43" t="str">
        <v>optimization,</v>
      </c>
      <c r="N871" s="43" t="str">
        <f t="shared" si="59"/>
        <v>*optimiza*</v>
      </c>
      <c r="P871" s="43">
        <f t="shared" si="60"/>
        <v>0</v>
      </c>
      <c r="Q871" s="43">
        <v>0</v>
      </c>
      <c r="R871" s="43">
        <v>0</v>
      </c>
      <c r="S871" s="43" t="e">
        <f t="shared" si="61"/>
        <v>#DIV/0!</v>
      </c>
      <c r="T871" s="43" t="e">
        <f t="shared" si="62"/>
        <v>#DIV/0!</v>
      </c>
    </row>
    <row r="872" spans="7:20">
      <c r="G872" s="62" cm="1">
        <f t="array" ref="G872">INDEX($D:$D, MATCH(1, (H872 &gt;= $B:$B) * (H872 &lt;= $C:$C), 0))</f>
        <v>0</v>
      </c>
      <c r="M872" s="43" t="str">
        <v>theme</v>
      </c>
      <c r="N872" s="43" t="str">
        <f t="shared" si="59"/>
        <v>*theme*</v>
      </c>
      <c r="P872" s="43">
        <f t="shared" si="60"/>
        <v>0</v>
      </c>
      <c r="Q872" s="43">
        <v>0</v>
      </c>
      <c r="R872" s="43">
        <v>0</v>
      </c>
      <c r="S872" s="43" t="e">
        <f t="shared" si="61"/>
        <v>#DIV/0!</v>
      </c>
      <c r="T872" s="43" t="e">
        <f t="shared" si="62"/>
        <v>#DIV/0!</v>
      </c>
    </row>
    <row r="873" spans="7:20">
      <c r="G873" s="62" cm="1">
        <f t="array" ref="G873">INDEX($D:$D, MATCH(1, (H873 &gt;= $B:$B) * (H873 &lt;= $C:$C), 0))</f>
        <v>0</v>
      </c>
      <c r="M873" s="43" t="str">
        <v>implementing</v>
      </c>
      <c r="N873" s="43" t="str">
        <f t="shared" si="59"/>
        <v>*implement*</v>
      </c>
      <c r="P873" s="43">
        <f t="shared" si="60"/>
        <v>0</v>
      </c>
      <c r="Q873" s="43">
        <v>0</v>
      </c>
      <c r="R873" s="43">
        <v>0</v>
      </c>
      <c r="S873" s="43" t="e">
        <f t="shared" si="61"/>
        <v>#DIV/0!</v>
      </c>
      <c r="T873" s="43" t="e">
        <f t="shared" si="62"/>
        <v>#DIV/0!</v>
      </c>
    </row>
    <row r="874" spans="7:20">
      <c r="G874" s="62" cm="1">
        <f t="array" ref="G874">INDEX($D:$D, MATCH(1, (H874 &gt;= $B:$B) * (H874 &lt;= $C:$C), 0))</f>
        <v>0</v>
      </c>
      <c r="M874" s="43" t="str">
        <v>VRAM</v>
      </c>
      <c r="N874" s="43" t="str">
        <f t="shared" si="59"/>
        <v>*vram*</v>
      </c>
      <c r="P874" s="43">
        <f t="shared" si="60"/>
        <v>0</v>
      </c>
      <c r="Q874" s="43">
        <v>0</v>
      </c>
      <c r="R874" s="43">
        <v>0</v>
      </c>
      <c r="S874" s="43" t="e">
        <f t="shared" si="61"/>
        <v>#DIV/0!</v>
      </c>
      <c r="T874" s="43" t="e">
        <f t="shared" si="62"/>
        <v>#DIV/0!</v>
      </c>
    </row>
    <row r="875" spans="7:20">
      <c r="M875" s="43" t="str">
        <v>starting</v>
      </c>
      <c r="N875" s="43" t="str">
        <f t="shared" si="59"/>
        <v>*start*</v>
      </c>
      <c r="P875" s="43">
        <f t="shared" si="60"/>
        <v>0</v>
      </c>
      <c r="Q875" s="43">
        <v>0</v>
      </c>
      <c r="R875" s="43">
        <v>0</v>
      </c>
      <c r="S875" s="43" t="e">
        <f t="shared" si="61"/>
        <v>#DIV/0!</v>
      </c>
      <c r="T875" s="43" t="e">
        <f t="shared" si="62"/>
        <v>#DIV/0!</v>
      </c>
    </row>
    <row r="876" spans="7:20">
      <c r="M876" s="43" t="str">
        <v>Optimized</v>
      </c>
      <c r="N876" s="43" t="str">
        <f t="shared" si="59"/>
        <v>*optim*</v>
      </c>
      <c r="P876" s="43">
        <f t="shared" si="60"/>
        <v>0</v>
      </c>
      <c r="Q876" s="43">
        <v>0</v>
      </c>
      <c r="R876" s="43">
        <v>0</v>
      </c>
      <c r="S876" s="43" t="e">
        <f t="shared" si="61"/>
        <v>#DIV/0!</v>
      </c>
      <c r="T876" s="43" t="e">
        <f t="shared" si="62"/>
        <v>#DIV/0!</v>
      </c>
    </row>
    <row r="877" spans="7:20">
      <c r="M877" s="43" t="str">
        <v>hopefully</v>
      </c>
      <c r="N877" s="43" t="str">
        <f t="shared" si="59"/>
        <v>*hopeful*</v>
      </c>
      <c r="P877" s="43">
        <f t="shared" si="60"/>
        <v>0</v>
      </c>
      <c r="Q877" s="43">
        <v>0</v>
      </c>
      <c r="R877" s="43">
        <v>0</v>
      </c>
      <c r="S877" s="43" t="e">
        <f t="shared" si="61"/>
        <v>#DIV/0!</v>
      </c>
      <c r="T877" s="43" t="e">
        <f t="shared" si="62"/>
        <v>#DIV/0!</v>
      </c>
    </row>
    <row r="878" spans="7:20">
      <c r="M878" s="43" t="str">
        <v>last</v>
      </c>
      <c r="N878" s="43" t="str">
        <f t="shared" si="59"/>
        <v>*last*</v>
      </c>
      <c r="P878" s="43">
        <f t="shared" si="60"/>
        <v>0</v>
      </c>
      <c r="Q878" s="43">
        <v>0</v>
      </c>
      <c r="R878" s="43">
        <v>0</v>
      </c>
      <c r="S878" s="43" t="e">
        <f t="shared" si="61"/>
        <v>#DIV/0!</v>
      </c>
      <c r="T878" s="43" t="e">
        <f t="shared" si="62"/>
        <v>#DIV/0!</v>
      </c>
    </row>
    <row r="879" spans="7:20">
      <c r="M879" s="43" t="str">
        <v>discuss</v>
      </c>
      <c r="N879" s="43" t="str">
        <f t="shared" si="59"/>
        <v>*discuss*</v>
      </c>
      <c r="P879" s="43">
        <f t="shared" si="60"/>
        <v>0</v>
      </c>
      <c r="Q879" s="43">
        <v>0</v>
      </c>
      <c r="R879" s="43">
        <v>0</v>
      </c>
      <c r="S879" s="43" t="e">
        <f t="shared" si="61"/>
        <v>#DIV/0!</v>
      </c>
      <c r="T879" s="43" t="e">
        <f t="shared" si="62"/>
        <v>#DIV/0!</v>
      </c>
    </row>
    <row r="880" spans="7:20">
      <c r="M880" s="43" t="str">
        <v>why</v>
      </c>
      <c r="N880" s="43" t="str">
        <f t="shared" si="59"/>
        <v>*why*</v>
      </c>
      <c r="P880" s="43">
        <f t="shared" si="60"/>
        <v>0</v>
      </c>
      <c r="Q880" s="43">
        <v>0</v>
      </c>
      <c r="R880" s="43">
        <v>0</v>
      </c>
      <c r="S880" s="43" t="e">
        <f t="shared" si="61"/>
        <v>#DIV/0!</v>
      </c>
      <c r="T880" s="43" t="e">
        <f t="shared" si="62"/>
        <v>#DIV/0!</v>
      </c>
    </row>
    <row r="881" spans="13:20">
      <c r="M881" s="43" t="str">
        <v>its</v>
      </c>
      <c r="N881" s="43" t="str">
        <f t="shared" si="59"/>
        <v>*its*</v>
      </c>
      <c r="P881" s="43">
        <f t="shared" si="60"/>
        <v>0</v>
      </c>
      <c r="Q881" s="43">
        <v>0</v>
      </c>
      <c r="R881" s="43">
        <v>0</v>
      </c>
      <c r="S881" s="43" t="e">
        <f t="shared" si="61"/>
        <v>#DIV/0!</v>
      </c>
      <c r="T881" s="43" t="e">
        <f t="shared" si="62"/>
        <v>#DIV/0!</v>
      </c>
    </row>
    <row r="882" spans="13:20">
      <c r="M882" s="43" t="str">
        <v>again</v>
      </c>
      <c r="N882" s="43" t="str">
        <f t="shared" si="59"/>
        <v>*again*</v>
      </c>
      <c r="P882" s="43">
        <f t="shared" si="60"/>
        <v>0</v>
      </c>
      <c r="Q882" s="43">
        <v>0</v>
      </c>
      <c r="R882" s="43">
        <v>0</v>
      </c>
      <c r="S882" s="43" t="e">
        <f t="shared" si="61"/>
        <v>#DIV/0!</v>
      </c>
      <c r="T882" s="43" t="e">
        <f t="shared" si="62"/>
        <v>#DIV/0!</v>
      </c>
    </row>
    <row r="883" spans="13:20">
      <c r="M883" s="43" t="str">
        <v>update</v>
      </c>
      <c r="N883" s="43" t="str">
        <f t="shared" si="59"/>
        <v>*update*</v>
      </c>
      <c r="P883" s="43">
        <f t="shared" si="60"/>
        <v>0</v>
      </c>
      <c r="Q883" s="43">
        <v>0</v>
      </c>
      <c r="R883" s="43">
        <v>0</v>
      </c>
      <c r="S883" s="43" t="e">
        <f t="shared" si="61"/>
        <v>#DIV/0!</v>
      </c>
      <c r="T883" s="43" t="e">
        <f t="shared" si="62"/>
        <v>#DIV/0!</v>
      </c>
    </row>
    <row r="884" spans="13:20">
      <c r="M884" s="43" t="str">
        <v>particle,</v>
      </c>
      <c r="N884" s="43" t="str">
        <f t="shared" si="59"/>
        <v>*particle*</v>
      </c>
      <c r="P884" s="43">
        <f t="shared" si="60"/>
        <v>0</v>
      </c>
      <c r="Q884" s="43">
        <v>0</v>
      </c>
      <c r="R884" s="43">
        <v>0</v>
      </c>
      <c r="S884" s="43" t="e">
        <f t="shared" si="61"/>
        <v>#DIV/0!</v>
      </c>
      <c r="T884" s="43" t="e">
        <f t="shared" si="62"/>
        <v>#DIV/0!</v>
      </c>
    </row>
    <row r="885" spans="13:20">
      <c r="M885" s="43" t="str">
        <v>outro</v>
      </c>
      <c r="N885" s="43" t="str">
        <f t="shared" si="59"/>
        <v>*outro*</v>
      </c>
      <c r="P885" s="43">
        <f t="shared" si="60"/>
        <v>0</v>
      </c>
      <c r="Q885" s="43">
        <v>0</v>
      </c>
      <c r="R885" s="43">
        <v>0</v>
      </c>
      <c r="S885" s="43" t="e">
        <f t="shared" si="61"/>
        <v>#DIV/0!</v>
      </c>
      <c r="T885" s="43" t="e">
        <f t="shared" si="62"/>
        <v>#DIV/0!</v>
      </c>
    </row>
    <row r="886" spans="13:20">
      <c r="M886" s="43" t="str">
        <v>scrolling</v>
      </c>
      <c r="N886" s="43" t="str">
        <f t="shared" si="59"/>
        <v>*scroll*</v>
      </c>
      <c r="P886" s="43">
        <f t="shared" si="60"/>
        <v>0</v>
      </c>
      <c r="Q886" s="43">
        <v>0</v>
      </c>
      <c r="R886" s="43">
        <v>0</v>
      </c>
      <c r="S886" s="43" t="e">
        <f t="shared" si="61"/>
        <v>#DIV/0!</v>
      </c>
      <c r="T886" s="43" t="e">
        <f t="shared" si="62"/>
        <v>#DIV/0!</v>
      </c>
    </row>
    <row r="887" spans="13:20">
      <c r="M887" s="43" t="str">
        <v>credits,</v>
      </c>
      <c r="N887" s="43" t="str">
        <f t="shared" si="59"/>
        <v>*credits*</v>
      </c>
      <c r="P887" s="43">
        <f t="shared" si="60"/>
        <v>0</v>
      </c>
      <c r="Q887" s="43">
        <v>0</v>
      </c>
      <c r="R887" s="43">
        <v>0</v>
      </c>
      <c r="S887" s="43" t="e">
        <f t="shared" si="61"/>
        <v>#DIV/0!</v>
      </c>
      <c r="T887" s="43" t="e">
        <f t="shared" si="62"/>
        <v>#DIV/0!</v>
      </c>
    </row>
    <row r="888" spans="13:20">
      <c r="M888" s="43" t="str">
        <v>Organized</v>
      </c>
      <c r="N888" s="43" t="str">
        <f t="shared" ref="N888:N944" si="63">_xlfn.CONCAT("*",TRIM(CLEAN(_xlfn.REGEXREPLACE(LOWER($M888),$N$51,""))),"*")</f>
        <v>*organ*</v>
      </c>
      <c r="P888" s="43">
        <f t="shared" ref="P888:P944" si="64">COUNTIF($K$5:$K$1000,$O888)</f>
        <v>0</v>
      </c>
      <c r="Q888" s="43">
        <v>0</v>
      </c>
      <c r="R888" s="43">
        <v>0</v>
      </c>
      <c r="S888" s="43" t="e">
        <f t="shared" ref="S888:S944" si="65">ROUND(LOG(COUNTA($M$54:$M$1000)/R888,10),2)</f>
        <v>#DIV/0!</v>
      </c>
      <c r="T888" s="43" t="e">
        <f t="shared" si="62"/>
        <v>#DIV/0!</v>
      </c>
    </row>
    <row r="889" spans="13:20">
      <c r="M889" s="43" t="str">
        <v>BP's</v>
      </c>
      <c r="N889" s="43" t="str">
        <f t="shared" si="63"/>
        <v>*bps*</v>
      </c>
      <c r="P889" s="43">
        <f t="shared" si="64"/>
        <v>0</v>
      </c>
      <c r="Q889" s="43">
        <v>0</v>
      </c>
      <c r="R889" s="43">
        <v>0</v>
      </c>
      <c r="S889" s="43" t="e">
        <f t="shared" si="65"/>
        <v>#DIV/0!</v>
      </c>
      <c r="T889" s="43" t="e">
        <f t="shared" ref="T889:T938" si="66">ROUND($S889/$S888,2)</f>
        <v>#DIV/0!</v>
      </c>
    </row>
    <row r="890" spans="13:20">
      <c r="M890" s="43" t="str">
        <v>mainly</v>
      </c>
      <c r="N890" s="43" t="str">
        <f t="shared" si="63"/>
        <v>*main*</v>
      </c>
      <c r="P890" s="43">
        <f t="shared" si="64"/>
        <v>0</v>
      </c>
      <c r="Q890" s="43">
        <v>0</v>
      </c>
      <c r="R890" s="43">
        <v>0</v>
      </c>
      <c r="S890" s="43" t="e">
        <f t="shared" si="65"/>
        <v>#DIV/0!</v>
      </c>
      <c r="T890" s="43" t="e">
        <f t="shared" si="66"/>
        <v>#DIV/0!</v>
      </c>
    </row>
    <row r="891" spans="13:20">
      <c r="M891" s="43" t="str">
        <v>third</v>
      </c>
      <c r="N891" s="43" t="str">
        <f t="shared" si="63"/>
        <v>*third*</v>
      </c>
      <c r="P891" s="43">
        <f t="shared" si="64"/>
        <v>0</v>
      </c>
      <c r="Q891" s="43">
        <v>0</v>
      </c>
      <c r="R891" s="43">
        <v>0</v>
      </c>
      <c r="S891" s="43" t="e">
        <f t="shared" si="65"/>
        <v>#DIV/0!</v>
      </c>
      <c r="T891" s="43" t="e">
        <f t="shared" si="66"/>
        <v>#DIV/0!</v>
      </c>
    </row>
    <row r="892" spans="13:20">
      <c r="M892" s="43" t="str">
        <v>person</v>
      </c>
      <c r="N892" s="43" t="str">
        <f t="shared" si="63"/>
        <v>*person*</v>
      </c>
      <c r="P892" s="43">
        <f t="shared" si="64"/>
        <v>0</v>
      </c>
      <c r="Q892" s="43">
        <v>0</v>
      </c>
      <c r="R892" s="43">
        <v>0</v>
      </c>
      <c r="S892" s="43" t="e">
        <f t="shared" si="65"/>
        <v>#DIV/0!</v>
      </c>
      <c r="T892" s="43" t="e">
        <f t="shared" si="66"/>
        <v>#DIV/0!</v>
      </c>
    </row>
    <row r="893" spans="13:20">
      <c r="M893" s="43" t="str">
        <v>mom</v>
      </c>
      <c r="N893" s="43" t="str">
        <f t="shared" si="63"/>
        <v>*mom*</v>
      </c>
      <c r="P893" s="43">
        <f t="shared" si="64"/>
        <v>0</v>
      </c>
      <c r="Q893" s="43">
        <v>0</v>
      </c>
      <c r="R893" s="43">
        <v>0</v>
      </c>
      <c r="S893" s="43" t="e">
        <f t="shared" si="65"/>
        <v>#DIV/0!</v>
      </c>
      <c r="T893" s="43" t="e">
        <f t="shared" si="66"/>
        <v>#DIV/0!</v>
      </c>
    </row>
    <row r="894" spans="13:20">
      <c r="M894" s="43" t="str">
        <v>dad</v>
      </c>
      <c r="N894" s="43" t="str">
        <f t="shared" si="63"/>
        <v>*dad*</v>
      </c>
      <c r="P894" s="43">
        <f t="shared" si="64"/>
        <v>0</v>
      </c>
      <c r="Q894" s="43">
        <v>0</v>
      </c>
      <c r="R894" s="43">
        <v>0</v>
      </c>
      <c r="S894" s="43" t="e">
        <f t="shared" si="65"/>
        <v>#DIV/0!</v>
      </c>
      <c r="T894" s="43" t="e">
        <f t="shared" si="66"/>
        <v>#DIV/0!</v>
      </c>
    </row>
    <row r="895" spans="13:20">
      <c r="M895" s="43" t="str">
        <v>characters</v>
      </c>
      <c r="N895" s="43" t="str">
        <f t="shared" si="63"/>
        <v>*characters*</v>
      </c>
      <c r="P895" s="43">
        <f t="shared" si="64"/>
        <v>0</v>
      </c>
      <c r="Q895" s="43">
        <v>0</v>
      </c>
      <c r="R895" s="43">
        <v>0</v>
      </c>
      <c r="S895" s="43" t="e">
        <f t="shared" si="65"/>
        <v>#DIV/0!</v>
      </c>
      <c r="T895" s="43" t="e">
        <f t="shared" si="66"/>
        <v>#DIV/0!</v>
      </c>
    </row>
    <row r="896" spans="13:20">
      <c r="M896" s="43" t="str">
        <v>tutorials,</v>
      </c>
      <c r="N896" s="43" t="str">
        <f t="shared" si="63"/>
        <v>*tutorials*</v>
      </c>
      <c r="P896" s="43">
        <f t="shared" si="64"/>
        <v>0</v>
      </c>
      <c r="Q896" s="43">
        <v>0</v>
      </c>
      <c r="R896" s="43">
        <v>0</v>
      </c>
      <c r="S896" s="43" t="e">
        <f t="shared" si="65"/>
        <v>#DIV/0!</v>
      </c>
      <c r="T896" s="43" t="e">
        <f t="shared" si="66"/>
        <v>#DIV/0!</v>
      </c>
    </row>
    <row r="897" spans="13:20">
      <c r="M897" s="43" t="str">
        <v>sequences,</v>
      </c>
      <c r="N897" s="43" t="str">
        <f t="shared" si="63"/>
        <v>*sequences*</v>
      </c>
      <c r="P897" s="43">
        <f t="shared" si="64"/>
        <v>0</v>
      </c>
      <c r="Q897" s="43">
        <v>0</v>
      </c>
      <c r="R897" s="43">
        <v>0</v>
      </c>
      <c r="S897" s="43" t="e">
        <f t="shared" si="65"/>
        <v>#DIV/0!</v>
      </c>
      <c r="T897" s="43" t="e">
        <f t="shared" si="66"/>
        <v>#DIV/0!</v>
      </c>
    </row>
    <row r="898" spans="13:20">
      <c r="M898" s="43" t="str">
        <v>tons</v>
      </c>
      <c r="N898" s="43" t="str">
        <f t="shared" si="63"/>
        <v>*tons*</v>
      </c>
      <c r="P898" s="43">
        <f t="shared" si="64"/>
        <v>0</v>
      </c>
      <c r="Q898" s="43">
        <v>0</v>
      </c>
      <c r="R898" s="43">
        <v>0</v>
      </c>
      <c r="S898" s="43" t="e">
        <f t="shared" si="65"/>
        <v>#DIV/0!</v>
      </c>
      <c r="T898" s="43" t="e">
        <f t="shared" si="66"/>
        <v>#DIV/0!</v>
      </c>
    </row>
    <row r="899" spans="13:20">
      <c r="M899" s="43" t="str">
        <v>most</v>
      </c>
      <c r="N899" s="43" t="str">
        <f t="shared" si="63"/>
        <v>*most*</v>
      </c>
      <c r="P899" s="43">
        <f t="shared" si="64"/>
        <v>0</v>
      </c>
      <c r="Q899" s="43">
        <v>0</v>
      </c>
      <c r="R899" s="43">
        <v>0</v>
      </c>
      <c r="S899" s="43" t="e">
        <f t="shared" si="65"/>
        <v>#DIV/0!</v>
      </c>
      <c r="T899" s="43" t="e">
        <f t="shared" si="66"/>
        <v>#DIV/0!</v>
      </c>
    </row>
    <row r="900" spans="13:20">
      <c r="M900" s="43" t="str">
        <v>notably</v>
      </c>
      <c r="N900" s="43" t="str">
        <f t="shared" si="63"/>
        <v>*notab*</v>
      </c>
      <c r="P900" s="43">
        <f t="shared" si="64"/>
        <v>0</v>
      </c>
      <c r="Q900" s="43">
        <v>0</v>
      </c>
      <c r="R900" s="43">
        <v>0</v>
      </c>
      <c r="S900" s="43" t="e">
        <f t="shared" si="65"/>
        <v>#DIV/0!</v>
      </c>
      <c r="T900" s="43" t="e">
        <f t="shared" si="66"/>
        <v>#DIV/0!</v>
      </c>
    </row>
    <row r="901" spans="13:20">
      <c r="M901" s="43" t="str">
        <v>loading,</v>
      </c>
      <c r="N901" s="43" t="str">
        <f t="shared" si="63"/>
        <v>*load*</v>
      </c>
      <c r="P901" s="43">
        <f t="shared" si="64"/>
        <v>0</v>
      </c>
      <c r="Q901" s="43">
        <v>0</v>
      </c>
      <c r="R901" s="43">
        <v>0</v>
      </c>
      <c r="S901" s="43" t="e">
        <f t="shared" si="65"/>
        <v>#DIV/0!</v>
      </c>
      <c r="T901" s="43" t="e">
        <f t="shared" si="66"/>
        <v>#DIV/0!</v>
      </c>
    </row>
    <row r="902" spans="13:20">
      <c r="M902" s="43" t="str">
        <v>sensitivity,</v>
      </c>
      <c r="N902" s="43" t="str">
        <f t="shared" si="63"/>
        <v>*sensitiv*</v>
      </c>
      <c r="P902" s="43">
        <f t="shared" si="64"/>
        <v>0</v>
      </c>
      <c r="Q902" s="43">
        <v>0</v>
      </c>
      <c r="R902" s="43">
        <v>0</v>
      </c>
      <c r="S902" s="43" t="e">
        <f t="shared" si="65"/>
        <v>#DIV/0!</v>
      </c>
      <c r="T902" s="43" t="e">
        <f t="shared" si="66"/>
        <v>#DIV/0!</v>
      </c>
    </row>
    <row r="903" spans="13:20">
      <c r="M903" s="43" t="str">
        <v>passages.</v>
      </c>
      <c r="N903" s="43" t="str">
        <f t="shared" si="63"/>
        <v>*passages*</v>
      </c>
      <c r="P903" s="43">
        <f t="shared" si="64"/>
        <v>0</v>
      </c>
      <c r="Q903" s="43">
        <v>0</v>
      </c>
      <c r="R903" s="43">
        <v>0</v>
      </c>
      <c r="S903" s="43" t="e">
        <f t="shared" si="65"/>
        <v>#DIV/0!</v>
      </c>
      <c r="T903" s="43" t="e">
        <f t="shared" si="66"/>
        <v>#DIV/0!</v>
      </c>
    </row>
    <row r="904" spans="13:20">
      <c r="M904" s="43" t="str">
        <v>trailer</v>
      </c>
      <c r="N904" s="43" t="str">
        <f t="shared" si="63"/>
        <v>*trailer*</v>
      </c>
      <c r="P904" s="43">
        <f t="shared" si="64"/>
        <v>0</v>
      </c>
      <c r="Q904" s="43">
        <v>0</v>
      </c>
      <c r="R904" s="43">
        <v>0</v>
      </c>
      <c r="S904" s="43" t="e">
        <f t="shared" si="65"/>
        <v>#DIV/0!</v>
      </c>
      <c r="T904" s="43" t="e">
        <f t="shared" si="66"/>
        <v>#DIV/0!</v>
      </c>
    </row>
    <row r="905" spans="13:20">
      <c r="M905" s="43" t="str">
        <v>queen,</v>
      </c>
      <c r="N905" s="43" t="str">
        <f t="shared" si="63"/>
        <v>*queen*</v>
      </c>
      <c r="P905" s="43">
        <f t="shared" si="64"/>
        <v>0</v>
      </c>
      <c r="Q905" s="43">
        <v>0</v>
      </c>
      <c r="R905" s="43">
        <v>0</v>
      </c>
      <c r="S905" s="43" t="e">
        <f t="shared" si="65"/>
        <v>#DIV/0!</v>
      </c>
      <c r="T905" s="43" t="e">
        <f t="shared" si="66"/>
        <v>#DIV/0!</v>
      </c>
    </row>
    <row r="906" spans="13:20">
      <c r="M906" s="43" t="str">
        <v>princess,</v>
      </c>
      <c r="N906" s="43" t="str">
        <f t="shared" si="63"/>
        <v>*princess*</v>
      </c>
      <c r="P906" s="43">
        <f t="shared" si="64"/>
        <v>0</v>
      </c>
      <c r="Q906" s="43">
        <v>0</v>
      </c>
      <c r="R906" s="43">
        <v>0</v>
      </c>
      <c r="S906" s="43" t="e">
        <f t="shared" si="65"/>
        <v>#DIV/0!</v>
      </c>
      <c r="T906" s="43" t="e">
        <f t="shared" si="66"/>
        <v>#DIV/0!</v>
      </c>
    </row>
    <row r="907" spans="13:20">
      <c r="M907" s="43" t="str">
        <v>parents</v>
      </c>
      <c r="N907" s="43" t="str">
        <f t="shared" si="63"/>
        <v>*parents*</v>
      </c>
      <c r="P907" s="43">
        <f t="shared" si="64"/>
        <v>0</v>
      </c>
      <c r="Q907" s="43">
        <v>0</v>
      </c>
      <c r="R907" s="43">
        <v>0</v>
      </c>
      <c r="S907" s="43" t="e">
        <f t="shared" si="65"/>
        <v>#DIV/0!</v>
      </c>
      <c r="T907" s="43" t="e">
        <f t="shared" si="66"/>
        <v>#DIV/0!</v>
      </c>
    </row>
    <row r="908" spans="13:20">
      <c r="M908" s="43" t="str">
        <v>polish</v>
      </c>
      <c r="N908" s="43" t="str">
        <f t="shared" si="63"/>
        <v>*polish*</v>
      </c>
      <c r="P908" s="43">
        <f t="shared" si="64"/>
        <v>0</v>
      </c>
      <c r="Q908" s="43">
        <v>0</v>
      </c>
      <c r="R908" s="43">
        <v>0</v>
      </c>
      <c r="S908" s="43" t="e">
        <f t="shared" si="65"/>
        <v>#DIV/0!</v>
      </c>
      <c r="T908" s="43" t="e">
        <f t="shared" si="66"/>
        <v>#DIV/0!</v>
      </c>
    </row>
    <row r="909" spans="13:20">
      <c r="M909" s="43" t="str">
        <v>Tidy</v>
      </c>
      <c r="N909" s="43" t="str">
        <f t="shared" si="63"/>
        <v>*tidy*</v>
      </c>
      <c r="P909" s="43">
        <f t="shared" si="64"/>
        <v>0</v>
      </c>
      <c r="Q909" s="43">
        <v>0</v>
      </c>
      <c r="R909" s="43">
        <v>0</v>
      </c>
      <c r="S909" s="43" t="e">
        <f t="shared" si="65"/>
        <v>#DIV/0!</v>
      </c>
      <c r="T909" s="43" t="e">
        <f t="shared" si="66"/>
        <v>#DIV/0!</v>
      </c>
    </row>
    <row r="910" spans="13:20">
      <c r="M910" s="43" t="str">
        <v>stuff</v>
      </c>
      <c r="N910" s="43" t="str">
        <f t="shared" si="63"/>
        <v>*stuff*</v>
      </c>
      <c r="P910" s="43">
        <f t="shared" si="64"/>
        <v>0</v>
      </c>
      <c r="Q910" s="43">
        <v>0</v>
      </c>
      <c r="R910" s="43">
        <v>0</v>
      </c>
      <c r="S910" s="43" t="e">
        <f t="shared" si="65"/>
        <v>#DIV/0!</v>
      </c>
      <c r="T910" s="43" t="e">
        <f t="shared" si="66"/>
        <v>#DIV/0!</v>
      </c>
    </row>
    <row r="911" spans="13:20">
      <c r="M911" s="43" t="str">
        <v>Upload</v>
      </c>
      <c r="N911" s="43" t="str">
        <f t="shared" si="63"/>
        <v>*upload*</v>
      </c>
      <c r="P911" s="43">
        <f t="shared" si="64"/>
        <v>0</v>
      </c>
      <c r="Q911" s="43">
        <v>0</v>
      </c>
      <c r="R911" s="43">
        <v>0</v>
      </c>
      <c r="S911" s="43" t="e">
        <f t="shared" si="65"/>
        <v>#DIV/0!</v>
      </c>
      <c r="T911" s="43" t="e">
        <f t="shared" si="66"/>
        <v>#DIV/0!</v>
      </c>
    </row>
    <row r="912" spans="13:20">
      <c r="M912" s="43" t="str">
        <v>week</v>
      </c>
      <c r="N912" s="43" t="str">
        <f t="shared" si="63"/>
        <v>*week*</v>
      </c>
      <c r="P912" s="43">
        <f t="shared" si="64"/>
        <v>0</v>
      </c>
      <c r="Q912" s="43">
        <v>0</v>
      </c>
      <c r="R912" s="43">
        <v>0</v>
      </c>
      <c r="S912" s="43" t="e">
        <f t="shared" si="65"/>
        <v>#DIV/0!</v>
      </c>
      <c r="T912" s="43" t="e">
        <f t="shared" si="66"/>
        <v>#DIV/0!</v>
      </c>
    </row>
    <row r="913" spans="13:20">
      <c r="M913" s="43" t="str">
        <v>(weekly</v>
      </c>
      <c r="N913" s="43" t="str">
        <f t="shared" si="63"/>
        <v>*week*</v>
      </c>
      <c r="P913" s="43">
        <f t="shared" si="64"/>
        <v>0</v>
      </c>
      <c r="Q913" s="43">
        <v>0</v>
      </c>
      <c r="R913" s="43">
        <v>0</v>
      </c>
      <c r="S913" s="43" t="e">
        <f t="shared" si="65"/>
        <v>#DIV/0!</v>
      </c>
      <c r="T913" s="43" t="e">
        <f t="shared" si="66"/>
        <v>#DIV/0!</v>
      </c>
    </row>
    <row r="914" spans="13:20">
      <c r="M914" s="43" t="str">
        <v>scrum)</v>
      </c>
      <c r="N914" s="43" t="str">
        <f t="shared" si="63"/>
        <v>*scrum*</v>
      </c>
      <c r="P914" s="43">
        <f t="shared" si="64"/>
        <v>0</v>
      </c>
      <c r="Q914" s="43">
        <v>0</v>
      </c>
      <c r="R914" s="43">
        <v>0</v>
      </c>
      <c r="S914" s="43" t="e">
        <f t="shared" si="65"/>
        <v>#DIV/0!</v>
      </c>
      <c r="T914" s="43" t="e">
        <f t="shared" si="66"/>
        <v>#DIV/0!</v>
      </c>
    </row>
    <row r="915" spans="13:20">
      <c r="M915" s="43" t="str">
        <v>business</v>
      </c>
      <c r="N915" s="43" t="str">
        <f t="shared" si="63"/>
        <v>*business*</v>
      </c>
      <c r="P915" s="43">
        <f t="shared" si="64"/>
        <v>0</v>
      </c>
      <c r="Q915" s="43">
        <v>0</v>
      </c>
      <c r="R915" s="43">
        <v>0</v>
      </c>
      <c r="S915" s="43" t="e">
        <f t="shared" si="65"/>
        <v>#DIV/0!</v>
      </c>
      <c r="T915" s="43" t="e">
        <f t="shared" si="66"/>
        <v>#DIV/0!</v>
      </c>
    </row>
    <row r="916" spans="13:20">
      <c r="M916" s="43" t="str">
        <v>cards</v>
      </c>
      <c r="N916" s="43" t="str">
        <f t="shared" si="63"/>
        <v>*cards*</v>
      </c>
      <c r="P916" s="43">
        <f t="shared" si="64"/>
        <v>0</v>
      </c>
      <c r="Q916" s="43">
        <v>0</v>
      </c>
      <c r="R916" s="43">
        <v>0</v>
      </c>
      <c r="S916" s="43" t="e">
        <f t="shared" si="65"/>
        <v>#DIV/0!</v>
      </c>
      <c r="T916" s="43" t="e">
        <f t="shared" si="66"/>
        <v>#DIV/0!</v>
      </c>
    </row>
    <row r="917" spans="13:20">
      <c r="M917" s="43" t="str">
        <v>Bridge</v>
      </c>
      <c r="N917" s="43" t="str">
        <f t="shared" si="63"/>
        <v>*bridge*</v>
      </c>
      <c r="P917" s="43">
        <f t="shared" si="64"/>
        <v>0</v>
      </c>
      <c r="Q917" s="43">
        <v>0</v>
      </c>
      <c r="R917" s="43">
        <v>0</v>
      </c>
      <c r="S917" s="43" t="e">
        <f t="shared" si="65"/>
        <v>#DIV/0!</v>
      </c>
      <c r="T917" s="43" t="e">
        <f t="shared" si="66"/>
        <v>#DIV/0!</v>
      </c>
    </row>
    <row r="918" spans="13:20">
      <c r="M918" s="43" t="str">
        <v>work,</v>
      </c>
      <c r="N918" s="43" t="str">
        <f t="shared" si="63"/>
        <v>*work*</v>
      </c>
      <c r="P918" s="43">
        <f t="shared" si="64"/>
        <v>0</v>
      </c>
      <c r="Q918" s="43">
        <v>0</v>
      </c>
      <c r="R918" s="43">
        <v>0</v>
      </c>
      <c r="S918" s="43" t="e">
        <f t="shared" si="65"/>
        <v>#DIV/0!</v>
      </c>
      <c r="T918" s="43" t="e">
        <f t="shared" si="66"/>
        <v>#DIV/0!</v>
      </c>
    </row>
    <row r="919" spans="13:20">
      <c r="M919" s="43" t="str">
        <v>currently</v>
      </c>
      <c r="N919" s="43" t="str">
        <f t="shared" si="63"/>
        <v>*current*</v>
      </c>
      <c r="P919" s="43">
        <f t="shared" si="64"/>
        <v>0</v>
      </c>
      <c r="Q919" s="43">
        <v>0</v>
      </c>
      <c r="R919" s="43">
        <v>0</v>
      </c>
      <c r="S919" s="43" t="e">
        <f t="shared" si="65"/>
        <v>#DIV/0!</v>
      </c>
      <c r="T919" s="43" t="e">
        <f t="shared" si="66"/>
        <v>#DIV/0!</v>
      </c>
    </row>
    <row r="920" spans="13:20">
      <c r="M920" s="43" t="str">
        <v>bridge;</v>
      </c>
      <c r="N920" s="43" t="str">
        <f t="shared" si="63"/>
        <v>*bridge*</v>
      </c>
      <c r="P920" s="43">
        <f t="shared" si="64"/>
        <v>0</v>
      </c>
      <c r="Q920" s="43">
        <v>0</v>
      </c>
      <c r="R920" s="43">
        <v>0</v>
      </c>
      <c r="S920" s="43" t="e">
        <f t="shared" si="65"/>
        <v>#DIV/0!</v>
      </c>
      <c r="T920" s="43" t="e">
        <f t="shared" si="66"/>
        <v>#DIV/0!</v>
      </c>
    </row>
    <row r="921" spans="13:20">
      <c r="M921" s="43" t="str">
        <v>mouse</v>
      </c>
      <c r="N921" s="43" t="str">
        <f t="shared" si="63"/>
        <v>*mouse*</v>
      </c>
      <c r="P921" s="43">
        <f t="shared" si="64"/>
        <v>0</v>
      </c>
      <c r="Q921" s="43">
        <v>0</v>
      </c>
      <c r="R921" s="43">
        <v>0</v>
      </c>
      <c r="S921" s="43" t="e">
        <f t="shared" si="65"/>
        <v>#DIV/0!</v>
      </c>
      <c r="T921" s="43" t="e">
        <f t="shared" si="66"/>
        <v>#DIV/0!</v>
      </c>
    </row>
    <row r="922" spans="13:20">
      <c r="M922" s="43" t="str">
        <v>bp_passage</v>
      </c>
      <c r="N922" s="43" t="str">
        <f t="shared" si="63"/>
        <v>*bp_passage*</v>
      </c>
      <c r="P922" s="43">
        <f t="shared" si="64"/>
        <v>0</v>
      </c>
      <c r="Q922" s="43">
        <v>0</v>
      </c>
      <c r="R922" s="43">
        <v>0</v>
      </c>
      <c r="S922" s="43" t="e">
        <f t="shared" si="65"/>
        <v>#DIV/0!</v>
      </c>
      <c r="T922" s="43" t="e">
        <f t="shared" si="66"/>
        <v>#DIV/0!</v>
      </c>
    </row>
    <row r="923" spans="13:20">
      <c r="M923" s="43" t="str">
        <v>playing</v>
      </c>
      <c r="N923" s="43" t="str">
        <f t="shared" si="63"/>
        <v>*play*</v>
      </c>
      <c r="P923" s="43">
        <f t="shared" si="64"/>
        <v>0</v>
      </c>
      <c r="Q923" s="43">
        <v>0</v>
      </c>
      <c r="R923" s="43">
        <v>0</v>
      </c>
      <c r="S923" s="43" t="e">
        <f t="shared" si="65"/>
        <v>#DIV/0!</v>
      </c>
      <c r="T923" s="43" t="e">
        <f t="shared" si="66"/>
        <v>#DIV/0!</v>
      </c>
    </row>
    <row r="924" spans="13:20">
      <c r="M924" s="43" t="str">
        <v>across</v>
      </c>
      <c r="N924" s="43" t="str">
        <f t="shared" si="63"/>
        <v>*across*</v>
      </c>
      <c r="P924" s="43">
        <f t="shared" si="64"/>
        <v>0</v>
      </c>
      <c r="Q924" s="43">
        <v>0</v>
      </c>
      <c r="R924" s="43">
        <v>0</v>
      </c>
      <c r="S924" s="43" t="e">
        <f t="shared" si="65"/>
        <v>#DIV/0!</v>
      </c>
      <c r="T924" s="43" t="e">
        <f t="shared" si="66"/>
        <v>#DIV/0!</v>
      </c>
    </row>
    <row r="925" spans="13:20">
      <c r="M925" s="43" t="str">
        <v>two</v>
      </c>
      <c r="N925" s="43" t="str">
        <f t="shared" si="63"/>
        <v>*two*</v>
      </c>
      <c r="P925" s="43">
        <f t="shared" si="64"/>
        <v>0</v>
      </c>
      <c r="Q925" s="43">
        <v>0</v>
      </c>
      <c r="R925" s="43">
        <v>0</v>
      </c>
      <c r="S925" s="43" t="e">
        <f t="shared" si="65"/>
        <v>#DIV/0!</v>
      </c>
      <c r="T925" s="43" t="e">
        <f t="shared" si="66"/>
        <v>#DIV/0!</v>
      </c>
    </row>
    <row r="926" spans="13:20">
      <c r="M926" s="43" t="str">
        <v>no</v>
      </c>
      <c r="N926" s="43" t="str">
        <f t="shared" si="63"/>
        <v>*no*</v>
      </c>
      <c r="P926" s="43">
        <f t="shared" si="64"/>
        <v>0</v>
      </c>
      <c r="Q926" s="43">
        <v>0</v>
      </c>
      <c r="R926" s="43">
        <v>0</v>
      </c>
      <c r="S926" s="43" t="e">
        <f t="shared" si="65"/>
        <v>#DIV/0!</v>
      </c>
      <c r="T926" s="43" t="e">
        <f t="shared" si="66"/>
        <v>#DIV/0!</v>
      </c>
    </row>
    <row r="927" spans="13:20">
      <c r="M927" s="43" t="str">
        <v>longer</v>
      </c>
      <c r="N927" s="43" t="str">
        <f t="shared" si="63"/>
        <v>*longer*</v>
      </c>
      <c r="P927" s="43">
        <f t="shared" si="64"/>
        <v>0</v>
      </c>
      <c r="Q927" s="43">
        <v>0</v>
      </c>
      <c r="R927" s="43">
        <v>0</v>
      </c>
      <c r="S927" s="43" t="e">
        <f t="shared" si="65"/>
        <v>#DIV/0!</v>
      </c>
      <c r="T927" s="43" t="e">
        <f t="shared" si="66"/>
        <v>#DIV/0!</v>
      </c>
    </row>
    <row r="928" spans="13:20">
      <c r="M928" s="43" t="str">
        <v>rest</v>
      </c>
      <c r="N928" s="43" t="str">
        <f t="shared" si="63"/>
        <v>*rest*</v>
      </c>
      <c r="P928" s="43">
        <f t="shared" si="64"/>
        <v>0</v>
      </c>
      <c r="Q928" s="43">
        <v>0</v>
      </c>
      <c r="R928" s="43">
        <v>0</v>
      </c>
      <c r="S928" s="43" t="e">
        <f t="shared" si="65"/>
        <v>#DIV/0!</v>
      </c>
      <c r="T928" s="43" t="e">
        <f t="shared" si="66"/>
        <v>#DIV/0!</v>
      </c>
    </row>
    <row r="929" spans="13:20">
      <c r="M929" s="43" t="str">
        <v>fixes.</v>
      </c>
      <c r="N929" s="43" t="str">
        <f t="shared" si="63"/>
        <v>*fixes*</v>
      </c>
      <c r="P929" s="43">
        <f t="shared" si="64"/>
        <v>0</v>
      </c>
      <c r="Q929" s="43">
        <v>0</v>
      </c>
      <c r="R929" s="43">
        <v>0</v>
      </c>
      <c r="S929" s="43" t="e">
        <f t="shared" si="65"/>
        <v>#DIV/0!</v>
      </c>
      <c r="T929" s="43" t="e">
        <f t="shared" si="66"/>
        <v>#DIV/0!</v>
      </c>
    </row>
    <row r="930" spans="13:20">
      <c r="M930" s="43" t="str">
        <v>list</v>
      </c>
      <c r="N930" s="43" t="str">
        <f t="shared" si="63"/>
        <v>*list*</v>
      </c>
      <c r="P930" s="43">
        <f t="shared" si="64"/>
        <v>0</v>
      </c>
      <c r="Q930" s="43">
        <v>0</v>
      </c>
      <c r="R930" s="43">
        <v>0</v>
      </c>
      <c r="S930" s="43" t="e">
        <f t="shared" si="65"/>
        <v>#DIV/0!</v>
      </c>
      <c r="T930" s="43" t="e">
        <f t="shared" si="66"/>
        <v>#DIV/0!</v>
      </c>
    </row>
    <row r="931" spans="13:20">
      <c r="M931" s="43" t="str">
        <v>future</v>
      </c>
      <c r="N931" s="43" t="str">
        <f t="shared" si="63"/>
        <v>*future*</v>
      </c>
      <c r="P931" s="43">
        <f t="shared" si="64"/>
        <v>0</v>
      </c>
      <c r="Q931" s="43">
        <v>0</v>
      </c>
      <c r="R931" s="43">
        <v>0</v>
      </c>
      <c r="S931" s="43" t="e">
        <f t="shared" si="65"/>
        <v>#DIV/0!</v>
      </c>
      <c r="T931" s="43" t="e">
        <f t="shared" si="66"/>
        <v>#DIV/0!</v>
      </c>
    </row>
    <row r="932" spans="13:20">
      <c r="M932" s="43" t="str">
        <v>during</v>
      </c>
      <c r="N932" s="43" t="str">
        <f t="shared" si="63"/>
        <v>*dur*</v>
      </c>
      <c r="P932" s="43">
        <f t="shared" si="64"/>
        <v>0</v>
      </c>
      <c r="Q932" s="43">
        <v>0</v>
      </c>
      <c r="R932" s="43">
        <v>0</v>
      </c>
      <c r="S932" s="43" t="e">
        <f t="shared" si="65"/>
        <v>#DIV/0!</v>
      </c>
      <c r="T932" s="43" t="e">
        <f t="shared" si="66"/>
        <v>#DIV/0!</v>
      </c>
    </row>
    <row r="933" spans="13:20">
      <c r="M933" s="43" t="str">
        <v>multiple</v>
      </c>
      <c r="N933" s="43" t="str">
        <f t="shared" si="63"/>
        <v>*multiple*</v>
      </c>
      <c r="P933" s="43">
        <f t="shared" si="64"/>
        <v>0</v>
      </c>
      <c r="Q933" s="43">
        <v>0</v>
      </c>
      <c r="R933" s="43">
        <v>0</v>
      </c>
      <c r="S933" s="43" t="e">
        <f t="shared" si="65"/>
        <v>#DIV/0!</v>
      </c>
      <c r="T933" s="43" t="e">
        <f t="shared" si="66"/>
        <v>#DIV/0!</v>
      </c>
    </row>
    <row r="934" spans="13:20">
      <c r="M934" s="43" t="str">
        <v>playthroughs</v>
      </c>
      <c r="N934" s="43" t="str">
        <f t="shared" si="63"/>
        <v>*playthroughs*</v>
      </c>
      <c r="P934" s="43">
        <f t="shared" si="64"/>
        <v>0</v>
      </c>
      <c r="Q934" s="43">
        <v>0</v>
      </c>
      <c r="R934" s="43">
        <v>0</v>
      </c>
      <c r="S934" s="43" t="e">
        <f t="shared" si="65"/>
        <v>#DIV/0!</v>
      </c>
      <c r="T934" s="43" t="e">
        <f t="shared" si="66"/>
        <v>#DIV/0!</v>
      </c>
    </row>
    <row r="935" spans="13:20">
      <c r="M935" s="43" t="str">
        <v>Started</v>
      </c>
      <c r="N935" s="43" t="str">
        <f t="shared" si="63"/>
        <v>*started*</v>
      </c>
      <c r="P935" s="43">
        <f t="shared" si="64"/>
        <v>0</v>
      </c>
      <c r="Q935" s="43">
        <v>0</v>
      </c>
      <c r="R935" s="43">
        <v>0</v>
      </c>
      <c r="S935" s="43" t="e">
        <f t="shared" si="65"/>
        <v>#DIV/0!</v>
      </c>
      <c r="T935" s="43" t="e">
        <f t="shared" si="66"/>
        <v>#DIV/0!</v>
      </c>
    </row>
    <row r="936" spans="13:20">
      <c r="M936" s="43" t="str">
        <v>message</v>
      </c>
      <c r="N936" s="43" t="str">
        <f t="shared" si="63"/>
        <v>*message*</v>
      </c>
      <c r="P936" s="43">
        <f t="shared" si="64"/>
        <v>0</v>
      </c>
      <c r="Q936" s="43">
        <v>0</v>
      </c>
      <c r="R936" s="43">
        <v>0</v>
      </c>
      <c r="S936" s="43" t="e">
        <f t="shared" si="65"/>
        <v>#DIV/0!</v>
      </c>
      <c r="T936" s="43" t="e">
        <f t="shared" si="66"/>
        <v>#DIV/0!</v>
      </c>
    </row>
    <row r="937" spans="13:20">
      <c r="M937" s="43" t="str">
        <v>dialogue,</v>
      </c>
      <c r="N937" s="43" t="str">
        <f t="shared" si="63"/>
        <v>*dialogue*</v>
      </c>
      <c r="P937" s="43">
        <f t="shared" si="64"/>
        <v>0</v>
      </c>
      <c r="Q937" s="43">
        <v>0</v>
      </c>
      <c r="R937" s="43">
        <v>0</v>
      </c>
      <c r="S937" s="43" t="e">
        <f t="shared" si="65"/>
        <v>#DIV/0!</v>
      </c>
      <c r="T937" s="43" t="e">
        <f t="shared" si="66"/>
        <v>#DIV/0!</v>
      </c>
    </row>
    <row r="938" spans="13:20">
      <c r="M938" s="43" t="str">
        <v>re-place</v>
      </c>
      <c r="N938" s="43" t="str">
        <f t="shared" si="63"/>
        <v>*replace*</v>
      </c>
      <c r="P938" s="43">
        <f t="shared" si="64"/>
        <v>0</v>
      </c>
      <c r="Q938" s="43">
        <v>0</v>
      </c>
      <c r="R938" s="43">
        <v>0</v>
      </c>
      <c r="S938" s="43" t="e">
        <f t="shared" si="65"/>
        <v>#DIV/0!</v>
      </c>
      <c r="T938" s="43" t="e">
        <f t="shared" si="66"/>
        <v>#DIV/0!</v>
      </c>
    </row>
    <row r="939" spans="13:20">
      <c r="M939" s="43" t="str">
        <v>Taking</v>
      </c>
      <c r="N939" s="43" t="str">
        <f t="shared" si="63"/>
        <v>*tak*</v>
      </c>
      <c r="P939" s="43">
        <f t="shared" si="64"/>
        <v>0</v>
      </c>
      <c r="Q939" s="43">
        <v>0</v>
      </c>
      <c r="R939" s="43">
        <v>0</v>
      </c>
      <c r="S939" s="43" t="e">
        <f t="shared" si="65"/>
        <v>#DIV/0!</v>
      </c>
      <c r="T939" s="43" t="e">
        <f t="shared" ref="T939:T944" si="67">S939/S938</f>
        <v>#DIV/0!</v>
      </c>
    </row>
    <row r="940" spans="13:20">
      <c r="M940" s="43" t="str">
        <v>photos</v>
      </c>
      <c r="N940" s="43" t="str">
        <f t="shared" si="63"/>
        <v>*photos*</v>
      </c>
      <c r="P940" s="43">
        <f t="shared" si="64"/>
        <v>0</v>
      </c>
      <c r="Q940" s="43">
        <v>0</v>
      </c>
      <c r="R940" s="43">
        <v>0</v>
      </c>
      <c r="S940" s="43" t="e">
        <f t="shared" si="65"/>
        <v>#DIV/0!</v>
      </c>
      <c r="T940" s="43" t="e">
        <f t="shared" si="67"/>
        <v>#DIV/0!</v>
      </c>
    </row>
    <row r="941" spans="13:20">
      <c r="M941" s="43" t="str">
        <v>Record</v>
      </c>
      <c r="N941" s="43" t="str">
        <f t="shared" si="63"/>
        <v>*record*</v>
      </c>
      <c r="P941" s="43">
        <f t="shared" si="64"/>
        <v>0</v>
      </c>
      <c r="Q941" s="43">
        <v>0</v>
      </c>
      <c r="R941" s="43">
        <v>0</v>
      </c>
      <c r="S941" s="43" t="e">
        <f t="shared" si="65"/>
        <v>#DIV/0!</v>
      </c>
      <c r="T941" s="43" t="e">
        <f t="shared" si="67"/>
        <v>#DIV/0!</v>
      </c>
    </row>
    <row r="942" spans="13:20">
      <c r="M942" s="43" t="str">
        <v>background</v>
      </c>
      <c r="N942" s="43" t="str">
        <f t="shared" si="63"/>
        <v>*background*</v>
      </c>
      <c r="P942" s="43">
        <f t="shared" si="64"/>
        <v>0</v>
      </c>
      <c r="Q942" s="43">
        <v>0</v>
      </c>
      <c r="R942" s="43">
        <v>0</v>
      </c>
      <c r="S942" s="43" t="e">
        <f t="shared" si="65"/>
        <v>#DIV/0!</v>
      </c>
      <c r="T942" s="43" t="e">
        <f t="shared" si="67"/>
        <v>#DIV/0!</v>
      </c>
    </row>
    <row r="943" spans="13:20">
      <c r="M943" s="43" t="str">
        <v>slides,</v>
      </c>
      <c r="N943" s="43" t="str">
        <f t="shared" si="63"/>
        <v>*slides*</v>
      </c>
      <c r="P943" s="43">
        <f t="shared" si="64"/>
        <v>0</v>
      </c>
      <c r="Q943" s="43">
        <v>0</v>
      </c>
      <c r="R943" s="43">
        <v>0</v>
      </c>
      <c r="S943" s="43" t="e">
        <f t="shared" si="65"/>
        <v>#DIV/0!</v>
      </c>
      <c r="T943" s="43" t="e">
        <f t="shared" si="67"/>
        <v>#DIV/0!</v>
      </c>
    </row>
    <row r="944" spans="13:20">
      <c r="M944" s="43" t="str">
        <v>hallway</v>
      </c>
      <c r="N944" s="43" t="str">
        <f t="shared" si="63"/>
        <v>*hallway*</v>
      </c>
      <c r="P944" s="43">
        <f t="shared" si="64"/>
        <v>0</v>
      </c>
      <c r="Q944" s="43">
        <v>0</v>
      </c>
      <c r="R944" s="43">
        <v>0</v>
      </c>
      <c r="S944" s="43" t="e">
        <f t="shared" si="65"/>
        <v>#DIV/0!</v>
      </c>
      <c r="T944" s="43" t="e">
        <f t="shared" si="67"/>
        <v>#DIV/0!</v>
      </c>
    </row>
    <row r="945" spans="13:20">
      <c r="M945" s="43" t="str">
        <v>trim</v>
      </c>
      <c r="Q945" s="43">
        <v>0</v>
      </c>
      <c r="R945" s="43">
        <v>0</v>
      </c>
      <c r="T945" s="43"/>
    </row>
    <row r="946" spans="13:20">
      <c r="M946" s="43" t="str">
        <v>gameplay</v>
      </c>
      <c r="Q946" s="43">
        <v>0</v>
      </c>
      <c r="R946" s="43">
        <v>0</v>
      </c>
      <c r="T946" s="43"/>
    </row>
    <row r="947" spans="13:20">
      <c r="M947" s="43" t="str">
        <v>footage</v>
      </c>
      <c r="Q947" s="43">
        <v>0</v>
      </c>
      <c r="R947" s="43">
        <v>0</v>
      </c>
      <c r="T947" s="43"/>
    </row>
    <row r="948" spans="13:20">
      <c r="M948" s="43" t="str">
        <v>Print,</v>
      </c>
      <c r="Q948" s="43">
        <v>0</v>
      </c>
      <c r="R948" s="43">
        <v>0</v>
      </c>
      <c r="T948" s="43"/>
    </row>
    <row r="949" spans="13:20">
      <c r="M949" s="43" t="str">
        <v>cut,</v>
      </c>
      <c r="Q949" s="43">
        <v>0</v>
      </c>
      <c r="R949" s="43">
        <v>0</v>
      </c>
      <c r="T949" s="43"/>
    </row>
    <row r="950" spans="13:20">
      <c r="M950" s="43" t="str">
        <v>fold</v>
      </c>
      <c r="Q950" s="43">
        <v>0</v>
      </c>
      <c r="R950" s="43">
        <v>0</v>
      </c>
      <c r="T950" s="43"/>
    </row>
    <row r="951" spans="13:20">
      <c r="M951" s="43" t="str">
        <v>leis</v>
      </c>
      <c r="Q951" s="43">
        <v>0</v>
      </c>
      <c r="R951" s="43">
        <v>0</v>
      </c>
    </row>
    <row r="952" spans="13:20">
      <c r="M952" s="43" t="str">
        <v>Re-recording</v>
      </c>
      <c r="Q952" s="43">
        <v>0</v>
      </c>
      <c r="R952" s="43">
        <v>0</v>
      </c>
    </row>
    <row r="953" spans="13:20">
      <c r="M953" s="43" t="str">
        <v>presentations</v>
      </c>
      <c r="Q953" s="43">
        <v>0</v>
      </c>
      <c r="R953" s="43">
        <v>0</v>
      </c>
    </row>
    <row r="954" spans="13:20">
      <c r="Q954" s="43">
        <v>0</v>
      </c>
      <c r="R954" s="43">
        <v>0</v>
      </c>
    </row>
    <row r="955" spans="13:20">
      <c r="Q955" s="43">
        <v>0</v>
      </c>
      <c r="R955" s="43">
        <v>0</v>
      </c>
    </row>
    <row r="956" spans="13:20">
      <c r="Q956" s="43">
        <v>0</v>
      </c>
      <c r="R956" s="43">
        <v>0</v>
      </c>
    </row>
    <row r="957" spans="13:20">
      <c r="Q957" s="43">
        <v>0</v>
      </c>
      <c r="R957" s="43">
        <v>0</v>
      </c>
    </row>
    <row r="958" spans="13:20">
      <c r="Q958" s="43">
        <v>0</v>
      </c>
      <c r="R958" s="43">
        <v>0</v>
      </c>
    </row>
    <row r="959" spans="13:20">
      <c r="Q959" s="43">
        <v>0</v>
      </c>
      <c r="R959" s="43">
        <v>0</v>
      </c>
    </row>
    <row r="960" spans="13:20">
      <c r="Q960" s="43">
        <v>0</v>
      </c>
      <c r="R960" s="43">
        <v>0</v>
      </c>
    </row>
    <row r="961" spans="17:18">
      <c r="Q961" s="43">
        <v>0</v>
      </c>
      <c r="R961" s="43">
        <v>0</v>
      </c>
    </row>
    <row r="962" spans="17:18">
      <c r="Q962" s="43">
        <v>0</v>
      </c>
      <c r="R962" s="43">
        <v>0</v>
      </c>
    </row>
    <row r="963" spans="17:18">
      <c r="Q963" s="43">
        <v>0</v>
      </c>
      <c r="R963" s="43">
        <v>0</v>
      </c>
    </row>
    <row r="964" spans="17:18">
      <c r="Q964" s="43">
        <v>0</v>
      </c>
      <c r="R964" s="43">
        <v>0</v>
      </c>
    </row>
    <row r="965" spans="17:18">
      <c r="Q965" s="43">
        <v>0</v>
      </c>
      <c r="R965" s="43">
        <v>0</v>
      </c>
    </row>
    <row r="966" spans="17:18">
      <c r="Q966" s="43">
        <v>0</v>
      </c>
      <c r="R966" s="43">
        <v>0</v>
      </c>
    </row>
    <row r="967" spans="17:18">
      <c r="Q967" s="43">
        <v>0</v>
      </c>
      <c r="R967" s="43">
        <v>0</v>
      </c>
    </row>
    <row r="968" spans="17:18">
      <c r="Q968" s="43">
        <v>0</v>
      </c>
      <c r="R968" s="43">
        <v>0</v>
      </c>
    </row>
    <row r="969" spans="17:18">
      <c r="Q969" s="43">
        <v>0</v>
      </c>
      <c r="R969" s="43">
        <v>0</v>
      </c>
    </row>
    <row r="970" spans="17:18">
      <c r="Q970" s="43">
        <v>0</v>
      </c>
      <c r="R970" s="43">
        <v>0</v>
      </c>
    </row>
    <row r="971" spans="17:18">
      <c r="Q971" s="43">
        <v>0</v>
      </c>
      <c r="R971" s="43">
        <v>0</v>
      </c>
    </row>
    <row r="972" spans="17:18">
      <c r="Q972" s="43">
        <v>0</v>
      </c>
      <c r="R972" s="43">
        <v>0</v>
      </c>
    </row>
    <row r="973" spans="17:18">
      <c r="Q973" s="43">
        <v>0</v>
      </c>
      <c r="R973" s="43">
        <v>0</v>
      </c>
    </row>
    <row r="974" spans="17:18">
      <c r="Q974" s="43">
        <v>0</v>
      </c>
      <c r="R974" s="43">
        <v>0</v>
      </c>
    </row>
    <row r="975" spans="17:18">
      <c r="Q975" s="43">
        <v>0</v>
      </c>
      <c r="R975" s="43">
        <v>0</v>
      </c>
    </row>
    <row r="976" spans="17:18">
      <c r="Q976" s="43">
        <v>0</v>
      </c>
      <c r="R976" s="43">
        <v>0</v>
      </c>
    </row>
    <row r="977" spans="17:18">
      <c r="Q977" s="43">
        <v>0</v>
      </c>
      <c r="R977" s="43">
        <v>0</v>
      </c>
    </row>
  </sheetData>
  <sortState xmlns:xlrd2="http://schemas.microsoft.com/office/spreadsheetml/2017/richdata2" ref="H778:K789">
    <sortCondition ref="H778:H789"/>
  </sortState>
  <mergeCells count="12">
    <mergeCell ref="S15:T15"/>
    <mergeCell ref="S16:T16"/>
    <mergeCell ref="S17:T17"/>
    <mergeCell ref="S18:T18"/>
    <mergeCell ref="B2:E2"/>
    <mergeCell ref="B3:E3"/>
    <mergeCell ref="S4:T4"/>
    <mergeCell ref="G3:K3"/>
    <mergeCell ref="M2:T2"/>
    <mergeCell ref="G2:K2"/>
    <mergeCell ref="M3:T3"/>
    <mergeCell ref="M4:P4"/>
  </mergeCells>
  <conditionalFormatting sqref="G5:G1011">
    <cfRule type="expression" dxfId="711" priority="97">
      <formula>MOD(ROW(),2)=1</formula>
    </cfRule>
  </conditionalFormatting>
  <conditionalFormatting sqref="G427">
    <cfRule type="expression" dxfId="710" priority="248">
      <formula>$H426&lt;&gt;$H433</formula>
    </cfRule>
  </conditionalFormatting>
  <conditionalFormatting sqref="G428">
    <cfRule type="expression" dxfId="709" priority="246">
      <formula>$H433&lt;&gt;$H428</formula>
    </cfRule>
  </conditionalFormatting>
  <conditionalFormatting sqref="G433 G685:G686">
    <cfRule type="expression" dxfId="708" priority="249">
      <formula>$H432&lt;&gt;#REF!</formula>
    </cfRule>
  </conditionalFormatting>
  <conditionalFormatting sqref="G434">
    <cfRule type="expression" dxfId="707" priority="247">
      <formula>#REF!&lt;&gt;$H434</formula>
    </cfRule>
  </conditionalFormatting>
  <conditionalFormatting sqref="G459:G460">
    <cfRule type="expression" dxfId="706" priority="258">
      <formula>$H455&lt;&gt;$H459</formula>
    </cfRule>
  </conditionalFormatting>
  <conditionalFormatting sqref="G461 G788">
    <cfRule type="expression" dxfId="705" priority="254">
      <formula>$H454&lt;&gt;$H461</formula>
    </cfRule>
  </conditionalFormatting>
  <conditionalFormatting sqref="G481:G510 G512 G516:G545 G547 G553:G649 G651:G772 G777:G796 G799:G874">
    <cfRule type="expression" dxfId="704" priority="271">
      <formula>$H480&lt;&gt;$H482</formula>
    </cfRule>
  </conditionalFormatting>
  <conditionalFormatting sqref="G484">
    <cfRule type="expression" dxfId="703" priority="270">
      <formula>#REF!&lt;&gt;$H484</formula>
    </cfRule>
  </conditionalFormatting>
  <conditionalFormatting sqref="G511:G516 G546:G647 G651:G771 G777:G795 G799:G874">
    <cfRule type="expression" dxfId="702" priority="294">
      <formula>$H510&lt;&gt;$H513</formula>
    </cfRule>
  </conditionalFormatting>
  <conditionalFormatting sqref="G512:G514 G716:G717">
    <cfRule type="expression" dxfId="701" priority="283">
      <formula>$H513&lt;&gt;#REF!</formula>
    </cfRule>
  </conditionalFormatting>
  <conditionalFormatting sqref="G514 G671:G672 G720 G754 G810">
    <cfRule type="expression" dxfId="700" priority="299">
      <formula>#REF!&lt;&gt;$H516</formula>
    </cfRule>
  </conditionalFormatting>
  <conditionalFormatting sqref="G515 G706 G709 G712">
    <cfRule type="expression" dxfId="699" priority="293">
      <formula>#REF!&lt;&gt;$H516</formula>
    </cfRule>
  </conditionalFormatting>
  <conditionalFormatting sqref="G515">
    <cfRule type="expression" dxfId="698" priority="287">
      <formula>#REF!&lt;&gt;$H515</formula>
    </cfRule>
  </conditionalFormatting>
  <conditionalFormatting sqref="G549:G551">
    <cfRule type="expression" dxfId="697" priority="311">
      <formula>$H550&lt;&gt;#REF!</formula>
    </cfRule>
  </conditionalFormatting>
  <conditionalFormatting sqref="G551">
    <cfRule type="expression" dxfId="696" priority="316">
      <formula>#REF!&lt;&gt;$H553</formula>
    </cfRule>
  </conditionalFormatting>
  <conditionalFormatting sqref="G552">
    <cfRule type="expression" dxfId="695" priority="327">
      <formula>#REF!&lt;&gt;$H552</formula>
    </cfRule>
    <cfRule type="expression" dxfId="694" priority="334">
      <formula>#REF!&lt;&gt;$H553</formula>
    </cfRule>
  </conditionalFormatting>
  <conditionalFormatting sqref="G570:G571 G573:G574 G580:G581 G583:G596 G598:G599 G601:G613 G615:G616 G664 G667 G671:G673 G675 G677 G679 G681 G683 G685 G688:G689 G719 G735 G739 G742:G769 G772 G776:G793 G798:G874">
    <cfRule type="expression" dxfId="693" priority="370">
      <formula>$H571&lt;&gt;$H574</formula>
    </cfRule>
  </conditionalFormatting>
  <conditionalFormatting sqref="G572:G573 G579:G580 G597:G598 G600:G612 G614:G615 G617:G644 G648 G663:G768 G776:G792 G797:G874">
    <cfRule type="expression" dxfId="692" priority="349">
      <formula>$H574&lt;&gt;$H577</formula>
    </cfRule>
  </conditionalFormatting>
  <conditionalFormatting sqref="G573 G575:G646 G649:G662 G664 G667 G669:G675 G677 G679 G681 G683 G685:G686 G688 G690:G693 G695 G698:G699 G733 G735:G736 G741 G795:G797">
    <cfRule type="expression" dxfId="691" priority="373">
      <formula>$H575&lt;&gt;$H577</formula>
    </cfRule>
  </conditionalFormatting>
  <conditionalFormatting sqref="G574:G577 G579 G581:G595 G597 G599:G646 G650 G652 G654 G656 G658 G660 G663:G768 G776:G792 G795:G874">
    <cfRule type="expression" dxfId="690" priority="494">
      <formula>$H577&lt;&gt;$H579</formula>
    </cfRule>
  </conditionalFormatting>
  <conditionalFormatting sqref="G574:G646 G650:G662 G668:G670 G673:G675 G681 G685:G686 G689:G693 G698:G700 G734:G736 G740:G742 G773:G775 G795:G797">
    <cfRule type="expression" dxfId="689" priority="473">
      <formula>$H577&lt;&gt;$H578</formula>
    </cfRule>
  </conditionalFormatting>
  <conditionalFormatting sqref="G580:G594 G596 G602 G613 G615:G643 G667 G669:G673 G675 G677 G679 G681 G683 G688 G690:G691 G693 G716:G717 G722:G728 G733 G743:G767 G776:G791 G795 G798:G874">
    <cfRule type="expression" dxfId="688" priority="534">
      <formula>$H584&lt;&gt;$H586</formula>
    </cfRule>
  </conditionalFormatting>
  <conditionalFormatting sqref="G580:G595 G598:G612 G615:G649 G667:G670 G672:G674 G680 G682 G685 G688:G692 G696 G698:G699 G716:G718 G722:G729 G735 G739:G768 G776:G793 G797:G874">
    <cfRule type="expression" dxfId="687" priority="542">
      <formula>$H584&lt;&gt;$H585</formula>
    </cfRule>
  </conditionalFormatting>
  <conditionalFormatting sqref="G581:G583 G665 G668:G669 G673:G675 G689:G691 G706 G773">
    <cfRule type="expression" dxfId="686" priority="492">
      <formula>$H580&lt;&gt;$H584</formula>
    </cfRule>
  </conditionalFormatting>
  <conditionalFormatting sqref="G595:G596 G664 G669:G671 G673 G675 G677 G679 G681 G685 G688:G689 G692 G723:G724 G727 G733 G743:G745 G748:G749 G752:G753 G756:G757 G760:G761 G764:G765 G769 G772:G776 G779:G781 G784:G785 G788:G790 G795 G799:G801 G804:G806 G808:G810 G812:G828 G831:G833 G836:G837 G840:G842 G845:G846 G849:G851 G854:G855 G858:G860 G863:G864 G867:G869 G872:G873">
    <cfRule type="expression" dxfId="685" priority="535">
      <formula>$H599&lt;&gt;$H602</formula>
    </cfRule>
  </conditionalFormatting>
  <conditionalFormatting sqref="G597:G599 G603:G604 G614:G616 G666:G668 G673 G684 G687 G689 G691:G692 G694 G699 G726 G738:G739 G747 G749 G751 G755 G759 G763 G767 G776 G778 G783 G787:G788 G792 G798:G799 G803 G805 G807:G808 G811:G812 G815 G817 G819 G821 G823 G826 G828 G830 G835 G839 G844 G848 G853 G857 G862 G866 G871">
    <cfRule type="expression" dxfId="684" priority="436">
      <formula>$H598&lt;&gt;$H602</formula>
    </cfRule>
  </conditionalFormatting>
  <conditionalFormatting sqref="G597:G611 G614:G643 G645:G660 G666:G668 G671 G681 G683:G684 G689 G695:G697 G715:G717 G722:G728 G733:G734 G736 G742:G767 G776:G874">
    <cfRule type="expression" dxfId="683" priority="372">
      <formula>$H602&lt;&gt;$H603</formula>
    </cfRule>
  </conditionalFormatting>
  <conditionalFormatting sqref="G601 G612 G661 G666 G668:G670 G685 G687 G689 G715 G722:G727 G738:G740 G744:G766 G771:G781 G783:G790 G796 G798:G833 G835:G842 G844:G851 G853:G860 G862:G869 G871:G874">
    <cfRule type="expression" dxfId="682" priority="350">
      <formula>$H606&lt;&gt;$H608</formula>
    </cfRule>
  </conditionalFormatting>
  <conditionalFormatting sqref="G602 G613:G642 G650:G659 G665:G666 G671:G672 G678 G682:G683 G686:G690 G697 G715:G716 G723 G727 G733 G735 G737:G740 G743 G748:G752 G756 G760 G764 G770:G775 G779 G784 G788:G789 G791:G797 G799:G800 G804:G809 G812:G813 G816 G818 G820 G822 G824 G827 G831 G836 G840 G845 G849 G854 G858 G863 G867 G872">
    <cfRule type="expression" dxfId="681" priority="444">
      <formula>$H608&lt;&gt;$H609</formula>
    </cfRule>
  </conditionalFormatting>
  <conditionalFormatting sqref="G602:G603 G613:G615 G665:G667 G671:G673 G675 G677 G679 G681 G683 G686 G688 G715:G716 G723 G725 G727 G743 G746 G748 G750 G752 G754 G756 G758 G760 G762 G764 G766 G777 G779 G782 G784 G786 G788:G789 G791 G798:G800 G802 G804 G806:G814 G816 G818 G820 G822 G824:G825 G827 G829 G831 G834 G836 G838 G840 G843 G845 G847 G849 G852 G854 G856 G858 G861 G863 G865 G867 G870 G872 G874">
    <cfRule type="expression" dxfId="680" priority="484">
      <formula>$H604&lt;&gt;$H608</formula>
    </cfRule>
  </conditionalFormatting>
  <conditionalFormatting sqref="G603 G666 G671 G681 G695 G715 G723 G727 G743 G748:G749 G752 G756 G760 G764 G779 G784 G788:G789 G799:G800 G804:G805 G808:G809 G812:G813 G816 G818 G820 G822 G824 G827 G831 G836 G840 G845 G849 G854 G858 G863 G867 G872">
    <cfRule type="expression" dxfId="679" priority="441">
      <formula>$H609&lt;&gt;#REF!</formula>
    </cfRule>
  </conditionalFormatting>
  <conditionalFormatting sqref="G604 G606:G607 G718:G719 G750:G753 G777:G779 G806:G809">
    <cfRule type="expression" dxfId="678" priority="511">
      <formula>$H606&lt;&gt;#REF!</formula>
    </cfRule>
  </conditionalFormatting>
  <conditionalFormatting sqref="G604 G666:G667 G671 G685 G689 G696:G697 G699 G715:G717 G735 G741 G776 G793 G797 G805:G807">
    <cfRule type="expression" dxfId="677" priority="410">
      <formula>$H609&lt;&gt;#REF!</formula>
    </cfRule>
  </conditionalFormatting>
  <conditionalFormatting sqref="G604 G667:G668 G682:G684 G696:G697 G716:G717 G741 G750:G751 G806:G807">
    <cfRule type="expression" dxfId="676" priority="442">
      <formula>#REF!&lt;&gt;$H610</formula>
    </cfRule>
  </conditionalFormatting>
  <conditionalFormatting sqref="G604:G605 G667:G670 G685 G716:G717 G735 G750:G751 G777 G797 G806:G807">
    <cfRule type="expression" dxfId="675" priority="397">
      <formula>$H608&lt;&gt;#REF!</formula>
    </cfRule>
  </conditionalFormatting>
  <conditionalFormatting sqref="G605">
    <cfRule type="expression" dxfId="674" priority="437">
      <formula>$H606&lt;&gt;#REF!</formula>
    </cfRule>
  </conditionalFormatting>
  <conditionalFormatting sqref="G605:G606 G668:G670">
    <cfRule type="expression" dxfId="673" priority="381">
      <formula>$H608&lt;&gt;#REF!</formula>
    </cfRule>
  </conditionalFormatting>
  <conditionalFormatting sqref="G605:G607 G668:G670 G684:G685 G687 G695 G704 G718 G742 G752:G753 G808:G809">
    <cfRule type="expression" dxfId="672" priority="404">
      <formula>#REF!&lt;&gt;$H610</formula>
    </cfRule>
  </conditionalFormatting>
  <conditionalFormatting sqref="G606:G608 G672 G684:G685 G688 G698 G705 G718:G719 G733 G808:G810">
    <cfRule type="expression" dxfId="671" priority="392">
      <formula>#REF!&lt;&gt;$H610</formula>
    </cfRule>
  </conditionalFormatting>
  <conditionalFormatting sqref="G607:G608 G671 G673 G685:G687 G697 G704 G711 G719:G720 G753:G754 G809:G810">
    <cfRule type="expression" dxfId="670" priority="382">
      <formula>#REF!&lt;&gt;$H610</formula>
    </cfRule>
  </conditionalFormatting>
  <conditionalFormatting sqref="G608">
    <cfRule type="expression" dxfId="669" priority="423">
      <formula>#REF!&lt;&gt;$H610</formula>
    </cfRule>
  </conditionalFormatting>
  <conditionalFormatting sqref="G643">
    <cfRule type="expression" dxfId="668" priority="616">
      <formula>$H649&lt;&gt;#REF!</formula>
    </cfRule>
  </conditionalFormatting>
  <conditionalFormatting sqref="G644">
    <cfRule type="expression" dxfId="667" priority="615">
      <formula>#REF!&lt;&gt;$H650</formula>
    </cfRule>
    <cfRule type="expression" dxfId="666" priority="602">
      <formula>$H649&lt;&gt;#REF!</formula>
    </cfRule>
  </conditionalFormatting>
  <conditionalFormatting sqref="G644:G645">
    <cfRule type="expression" dxfId="665" priority="638">
      <formula>$H648&lt;&gt;#REF!</formula>
    </cfRule>
  </conditionalFormatting>
  <conditionalFormatting sqref="G644:G646">
    <cfRule type="expression" dxfId="664" priority="622">
      <formula>$H647&lt;&gt;#REF!</formula>
    </cfRule>
  </conditionalFormatting>
  <conditionalFormatting sqref="G645:G646">
    <cfRule type="expression" dxfId="663" priority="601">
      <formula>#REF!&lt;&gt;$H650</formula>
    </cfRule>
  </conditionalFormatting>
  <conditionalFormatting sqref="G645:G647">
    <cfRule type="expression" dxfId="662" priority="573">
      <formula>$H647&lt;&gt;#REF!</formula>
    </cfRule>
  </conditionalFormatting>
  <conditionalFormatting sqref="G646:G647">
    <cfRule type="expression" dxfId="661" priority="625">
      <formula>#REF!&lt;&gt;$H650</formula>
    </cfRule>
  </conditionalFormatting>
  <conditionalFormatting sqref="G647:G648">
    <cfRule type="expression" dxfId="660" priority="563">
      <formula>$H648&lt;&gt;#REF!</formula>
    </cfRule>
    <cfRule type="expression" dxfId="659" priority="607">
      <formula>#REF!&lt;&gt;$H650</formula>
    </cfRule>
  </conditionalFormatting>
  <conditionalFormatting sqref="G648:G649">
    <cfRule type="expression" dxfId="658" priority="586">
      <formula>$H647&lt;&gt;#REF!</formula>
    </cfRule>
  </conditionalFormatting>
  <conditionalFormatting sqref="G648:G650">
    <cfRule type="expression" dxfId="657" priority="572">
      <formula>#REF!&lt;&gt;$H650</formula>
    </cfRule>
  </conditionalFormatting>
  <conditionalFormatting sqref="G649:G650">
    <cfRule type="expression" dxfId="656" priority="562">
      <formula>#REF!&lt;&gt;$H650</formula>
    </cfRule>
  </conditionalFormatting>
  <conditionalFormatting sqref="G650">
    <cfRule type="expression" dxfId="655" priority="582">
      <formula>#REF!&lt;&gt;$H650</formula>
    </cfRule>
  </conditionalFormatting>
  <conditionalFormatting sqref="G660 G665 G684 G688 G691 G725 G737:G740 G746 G750:G751 G754 G758 G762 G770:G775 G777 G782 G786 G798 G802 G806:G807 G810:G811 G814 G816 G818 G820 G822 G825 G827 G829 G834 G838 G843 G847 G852 G856 G861 G865 G870 G874">
    <cfRule type="expression" dxfId="654" priority="736">
      <formula>$H666&lt;&gt;$H668</formula>
    </cfRule>
  </conditionalFormatting>
  <conditionalFormatting sqref="G661 G665 G668 G671 G685 G687 G689 G715 G722 G726 G736:G737 G740 G747 G751 G755 G759 G763 G769:G770 G778 G783 G787:G788 G791:G794 G798:G799 G803 G807:G808 G811:G812 G815 G817 G819 G821 G823 G826 G828 G830 G835 G839 G844 G848 G853 G857 G862 G866 G871">
    <cfRule type="expression" dxfId="653" priority="750">
      <formula>$H664&lt;&gt;$H668</formula>
    </cfRule>
  </conditionalFormatting>
  <conditionalFormatting sqref="G661 G737 G739:G740 G766 G769 G771:G775 G781:G787">
    <cfRule type="expression" dxfId="652" priority="2920">
      <formula>$H668&lt;&gt;$H671</formula>
    </cfRule>
  </conditionalFormatting>
  <conditionalFormatting sqref="G662 G667:G670 G675 G722:G724 G734:G740 G743:G745 G747:G753 G755:G757 G759:G761 G763 G767:G776 G778:G780 G783:G785 G787 G798:G801 G803:G828 G830:G832 G835:G837 G839:G841 G844:G846 G848:G850 G853:G855 G857:G859 G862:G864 G866:G868 G871:G873">
    <cfRule type="expression" dxfId="651" priority="998">
      <formula>$H671&lt;&gt;$H672</formula>
    </cfRule>
  </conditionalFormatting>
  <conditionalFormatting sqref="G662 G725 G734 G737:G738 G746 G750 G754 G758 G762 G770 G773:G775 G777 G786 G802 G806 G810:G811 G814 G818 G820 G822 G827 G829 G838 G847 G856 G865 G874">
    <cfRule type="expression" dxfId="650" priority="2176">
      <formula>$H668&lt;&gt;$H671</formula>
    </cfRule>
  </conditionalFormatting>
  <conditionalFormatting sqref="G663:G764 G767 G776:G781 G783:G788 G798:G869 G871:G874">
    <cfRule type="expression" dxfId="649" priority="903">
      <formula>$H666&lt;&gt;$H672</formula>
    </cfRule>
  </conditionalFormatting>
  <conditionalFormatting sqref="G663:G764 G768 G773:G781 G783:G788 G798:G869 G871:G874">
    <cfRule type="expression" dxfId="648" priority="890">
      <formula>$H672&lt;&gt;#REF!</formula>
    </cfRule>
  </conditionalFormatting>
  <conditionalFormatting sqref="G663:G764 G768 G773:G781 G783:G788 G798:G1013">
    <cfRule type="expression" dxfId="647" priority="801">
      <formula>$H671&lt;&gt;$H672</formula>
    </cfRule>
  </conditionalFormatting>
  <conditionalFormatting sqref="G664 G666 G668 G672 G674 G676:G680 G682 G685 G687 G689 G697 G737 G768 G773:G775 G780 G790 G794">
    <cfRule type="expression" dxfId="646" priority="734">
      <formula>$H672&lt;&gt;#REF!</formula>
    </cfRule>
  </conditionalFormatting>
  <conditionalFormatting sqref="G664 G666 G669:G670 G685 G687 G734 G736 G769:G771">
    <cfRule type="expression" dxfId="645" priority="855">
      <formula>$H666&lt;&gt;$H671</formula>
    </cfRule>
  </conditionalFormatting>
  <conditionalFormatting sqref="G664 G666:G670 G675 G679 G683 G685 G687 G706 G722 G734 G747 G749 G751 G755 G759 G763 G778 G780:G788 G798:G799 G803 G805 G807:G808 G811:G812 G815 G817 G819 G821 G823 G826 G828 G830 G835 G839 G844 G848 G853 G857 G862 G866 G871">
    <cfRule type="expression" dxfId="644" priority="892">
      <formula>#REF!&lt;&gt;$H673</formula>
    </cfRule>
  </conditionalFormatting>
  <conditionalFormatting sqref="G664 G669:G670 G685 G691 G725 G746 G750 G754 G758 G762 G768:G769 G773:G775 G777 G782 G786 G798 G802 G806:G807 G810:G811 G814 G816 G818 G820 G822 G825 G827 G829 G834 G838 G843 G847 G852 G856 G861 G865 G870 G874">
    <cfRule type="expression" dxfId="643" priority="2894">
      <formula>$H668&lt;&gt;$H672</formula>
    </cfRule>
  </conditionalFormatting>
  <conditionalFormatting sqref="G665 G671 G673 G675:G677 G679:G681 G684 G688 G781:G787 G791 G795">
    <cfRule type="expression" dxfId="642" priority="735">
      <formula>#REF!&lt;&gt;$H673</formula>
    </cfRule>
  </conditionalFormatting>
  <conditionalFormatting sqref="G665 G688 G716 G723 G727 G735 G737:G739 G743 G748:G749 G752 G756 G760 G764 G770:G772 G779 G784 G788:G789 G799:G800 G804:G805 G808:G809 G812:G813 G816 G818 G820 G822 G824 G827 G831 G836 G840 G845 G849 G854 G858 G863 G867 G872">
    <cfRule type="expression" dxfId="641" priority="2869">
      <formula>$H666&lt;&gt;$H671</formula>
    </cfRule>
  </conditionalFormatting>
  <conditionalFormatting sqref="G666 G668:G670 G684 G687 G689 G691 G722:G726 G735 G739 G743 G745 G747 G749 G751:G765 G768 G776:G780 G782:G790 G798:G805 G807:G832 G834:G841 G843:G850 G852:G859 G861:G868 G870:G874">
    <cfRule type="expression" dxfId="640" priority="2891">
      <formula>$H671&lt;&gt;$H674</formula>
    </cfRule>
  </conditionalFormatting>
  <conditionalFormatting sqref="G666 G669:G672 G674 G676:G682 G685:G689 G715 G722:G726 G736:G740 G743:G765 G769:G773 G776:G789 G792:G794 G796:G1021">
    <cfRule type="expression" dxfId="639" priority="737">
      <formula>$H673&lt;&gt;$H674</formula>
    </cfRule>
  </conditionalFormatting>
  <conditionalFormatting sqref="G666 G689 G739 G771">
    <cfRule type="expression" dxfId="638" priority="2218">
      <formula>$H674&lt;&gt;$H676</formula>
    </cfRule>
  </conditionalFormatting>
  <conditionalFormatting sqref="G666:G667 G689 G699">
    <cfRule type="expression" dxfId="637" priority="2918">
      <formula>$H665&lt;&gt;$H671</formula>
    </cfRule>
  </conditionalFormatting>
  <conditionalFormatting sqref="G667 G669 G674:G675 G680 G685 G741 G772:G773">
    <cfRule type="expression" dxfId="636" priority="787">
      <formula>$H666&lt;&gt;$H671</formula>
    </cfRule>
  </conditionalFormatting>
  <conditionalFormatting sqref="G667 G669:G670 G688 G768:G769">
    <cfRule type="expression" dxfId="635" priority="2924">
      <formula>$H671&lt;&gt;$H676</formula>
    </cfRule>
  </conditionalFormatting>
  <conditionalFormatting sqref="G667 G669:G670 G690 G698 G722 G738 G740 G747 G751 G755 G759 G763 G769:G770 G772:G775 G778 G783 G787:G788 G798:G799 G803 G807:G808 G811:G812 G815 G817 G819 G821 G823 G826 G828 G830 G835 G839 G844 G848 G853 G857 G862 G866 G871">
    <cfRule type="expression" dxfId="634" priority="800">
      <formula>$H674&lt;&gt;$H676</formula>
    </cfRule>
  </conditionalFormatting>
  <conditionalFormatting sqref="G667 G676 G695:G697 G724 G736:G740 G744:G745 G749 G753 G757 G761 G776 G778 G780 G785 G800:G801 G805 G809:G810 G813:G814 G817 G819 G821 G823 G825:G826 G828 G832 G837 G841 G846 G850 G855 G859 G864 G868 G873">
    <cfRule type="expression" dxfId="633" priority="1320">
      <formula>$H677&lt;&gt;#REF!</formula>
    </cfRule>
  </conditionalFormatting>
  <conditionalFormatting sqref="G667 G695 G766">
    <cfRule type="expression" dxfId="632" priority="2389">
      <formula>$H671&lt;&gt;$H677</formula>
    </cfRule>
  </conditionalFormatting>
  <conditionalFormatting sqref="G668 G672 G674 G676 G678 G680 G682 G735 G773:G775">
    <cfRule type="expression" dxfId="631" priority="802">
      <formula>$H671&lt;&gt;$H676</formula>
    </cfRule>
  </conditionalFormatting>
  <conditionalFormatting sqref="G668 G674 G689 G733 G746 G750 G754 G758 G762 G777 G779:G787 G802 G806 G810:G811 G814 G818 G820 G822 G827 G829 G838 G847 G856 G865 G874">
    <cfRule type="expression" dxfId="630" priority="1136">
      <formula>#REF!&lt;&gt;$H678</formula>
    </cfRule>
  </conditionalFormatting>
  <conditionalFormatting sqref="G668 G734 G740 G767:G768 G772">
    <cfRule type="expression" dxfId="629" priority="876">
      <formula>$H673&lt;&gt;$H677</formula>
    </cfRule>
  </conditionalFormatting>
  <conditionalFormatting sqref="G669:G670 G681 G683 G715:G716 G792 G796 G805:G807">
    <cfRule type="expression" dxfId="628" priority="719">
      <formula>#REF!&lt;&gt;$H676</formula>
    </cfRule>
  </conditionalFormatting>
  <conditionalFormatting sqref="G670">
    <cfRule type="expression" dxfId="627" priority="4572">
      <formula>$H708&lt;&gt;$H736</formula>
    </cfRule>
    <cfRule type="expression" dxfId="626" priority="5679">
      <formula>$H739&lt;&gt;$H740</formula>
    </cfRule>
    <cfRule type="expression" dxfId="625" priority="5678">
      <formula>$H740&lt;&gt;#REF!</formula>
    </cfRule>
    <cfRule type="expression" dxfId="624" priority="5677">
      <formula>$H741&lt;&gt;$H737</formula>
    </cfRule>
    <cfRule type="expression" dxfId="623" priority="5676">
      <formula>$H738&lt;&gt;$H739</formula>
    </cfRule>
    <cfRule type="expression" dxfId="622" priority="2983">
      <formula>$H741&lt;&gt;$H742</formula>
    </cfRule>
    <cfRule type="expression" dxfId="621" priority="5674">
      <formula>$H737&lt;&gt;$H738</formula>
    </cfRule>
    <cfRule type="expression" dxfId="620" priority="5673">
      <formula>$H736&lt;&gt;$H737</formula>
    </cfRule>
    <cfRule type="expression" dxfId="619" priority="5452">
      <formula>$H708&lt;&gt;$H670</formula>
    </cfRule>
    <cfRule type="expression" dxfId="618" priority="2972">
      <formula>$H736&lt;&gt;$H742</formula>
    </cfRule>
    <cfRule type="expression" dxfId="617" priority="5680">
      <formula>$H741&lt;&gt;$H740</formula>
    </cfRule>
    <cfRule type="expression" dxfId="616" priority="2932">
      <formula>$H736&lt;&gt;$H741</formula>
    </cfRule>
    <cfRule type="expression" dxfId="615" priority="2936">
      <formula>$H735&lt;&gt;$H741</formula>
    </cfRule>
    <cfRule type="expression" dxfId="614" priority="3687">
      <formula>$H708&lt;&gt;$H735</formula>
    </cfRule>
  </conditionalFormatting>
  <conditionalFormatting sqref="G671 G673 G675 G677:G681 G683 G698 G723 G727 G733 G743 G748 G752 G756 G760 G764 G779 G784 G788:G789 G791:G797 G799:G800 G804 G808:G809 G812:G813 G816 G818 G820 G822 G824 G827 G831 G836 G840 G845 G849 G854 G858 G863 G867 G872">
    <cfRule type="expression" dxfId="613" priority="718">
      <formula>$H678&lt;&gt;#REF!</formula>
    </cfRule>
  </conditionalFormatting>
  <conditionalFormatting sqref="G671 G676 G741:G742">
    <cfRule type="expression" dxfId="612" priority="839">
      <formula>$H669&lt;&gt;$H673</formula>
    </cfRule>
  </conditionalFormatting>
  <conditionalFormatting sqref="G671 G676 G742">
    <cfRule type="expression" dxfId="611" priority="835">
      <formula>$H669&lt;&gt;$H672</formula>
    </cfRule>
  </conditionalFormatting>
  <conditionalFormatting sqref="G671 G676">
    <cfRule type="expression" dxfId="610" priority="830">
      <formula>$H669&lt;&gt;$H671</formula>
    </cfRule>
  </conditionalFormatting>
  <conditionalFormatting sqref="G671 G691 G773:G775 G782 G798 G807 G816 G825 G834 G843 G852 G861 G870">
    <cfRule type="expression" dxfId="609" priority="1672">
      <formula>$H679&lt;&gt;$H686</formula>
    </cfRule>
  </conditionalFormatting>
  <conditionalFormatting sqref="G671">
    <cfRule type="expression" dxfId="608" priority="901">
      <formula>$H669&lt;&gt;$H676</formula>
    </cfRule>
  </conditionalFormatting>
  <conditionalFormatting sqref="G672 G691 G773 G776:G782 G798 G807 G816 G825 G834 G843 G852 G861 G870">
    <cfRule type="expression" dxfId="607" priority="1277">
      <formula>$H687&lt;&gt;#REF!</formula>
    </cfRule>
  </conditionalFormatting>
  <conditionalFormatting sqref="G672 G692">
    <cfRule type="expression" dxfId="606" priority="1668">
      <formula>$H679&lt;&gt;$H686</formula>
    </cfRule>
  </conditionalFormatting>
  <conditionalFormatting sqref="G672 G714 G721 G776:G782">
    <cfRule type="expression" dxfId="605" priority="1429">
      <formula>$H686&lt;&gt;$H687</formula>
    </cfRule>
  </conditionalFormatting>
  <conditionalFormatting sqref="G672">
    <cfRule type="expression" dxfId="604" priority="1658">
      <formula>$H676&lt;&gt;$H687</formula>
    </cfRule>
  </conditionalFormatting>
  <conditionalFormatting sqref="G672:G673">
    <cfRule type="expression" dxfId="603" priority="652">
      <formula>#REF!&lt;&gt;$H673</formula>
    </cfRule>
  </conditionalFormatting>
  <conditionalFormatting sqref="G673 G691 G790">
    <cfRule type="expression" dxfId="602" priority="1258">
      <formula>$H687&lt;&gt;#REF!</formula>
    </cfRule>
  </conditionalFormatting>
  <conditionalFormatting sqref="G673 G692 G776">
    <cfRule type="expression" dxfId="601" priority="1671">
      <formula>$H678&lt;&gt;$H686</formula>
    </cfRule>
  </conditionalFormatting>
  <conditionalFormatting sqref="G673 G692 G790">
    <cfRule type="expression" dxfId="600" priority="1362">
      <formula>$H678&lt;&gt;$H687</formula>
    </cfRule>
  </conditionalFormatting>
  <conditionalFormatting sqref="G673 G693 G776:G783">
    <cfRule type="expression" dxfId="599" priority="1423">
      <formula>$H686&lt;&gt;$H687</formula>
    </cfRule>
  </conditionalFormatting>
  <conditionalFormatting sqref="G673 G778 G791">
    <cfRule type="expression" dxfId="598" priority="1669">
      <formula>$H676&lt;&gt;$H686</formula>
    </cfRule>
  </conditionalFormatting>
  <conditionalFormatting sqref="G673 G791">
    <cfRule type="expression" dxfId="597" priority="1666">
      <formula>$H679&lt;&gt;$H686</formula>
    </cfRule>
  </conditionalFormatting>
  <conditionalFormatting sqref="G673">
    <cfRule type="expression" dxfId="596" priority="697">
      <formula>#REF!&lt;&gt;$H673</formula>
    </cfRule>
  </conditionalFormatting>
  <conditionalFormatting sqref="G673:G674 G677:G681 G683:G687">
    <cfRule type="expression" dxfId="595" priority="1130">
      <formula>#REF!&lt;&gt;#REF!</formula>
    </cfRule>
  </conditionalFormatting>
  <conditionalFormatting sqref="G674 G692 G779 G785:G787 G791">
    <cfRule type="expression" dxfId="594" priority="1272">
      <formula>$H687&lt;&gt;#REF!</formula>
    </cfRule>
  </conditionalFormatting>
  <conditionalFormatting sqref="G674 G776:G779 G785:G787">
    <cfRule type="expression" dxfId="593" priority="1418">
      <formula>$H686&lt;&gt;$H687</formula>
    </cfRule>
  </conditionalFormatting>
  <conditionalFormatting sqref="G674:G675 G693 G695 G776:G777">
    <cfRule type="expression" dxfId="592" priority="1332">
      <formula>$H678&lt;&gt;$H686</formula>
    </cfRule>
  </conditionalFormatting>
  <conditionalFormatting sqref="G674:G675 G694:G695 G738 G765 G769 G776 G779">
    <cfRule type="expression" dxfId="591" priority="1271">
      <formula>$H686&lt;&gt;#REF!</formula>
    </cfRule>
  </conditionalFormatting>
  <conditionalFormatting sqref="G674:G675 G777 G779">
    <cfRule type="expression" dxfId="590" priority="1251">
      <formula>$H676&lt;&gt;$H686</formula>
    </cfRule>
  </conditionalFormatting>
  <conditionalFormatting sqref="G674:G675">
    <cfRule type="expression" dxfId="589" priority="1178">
      <formula>$H674&lt;&gt;$H686</formula>
    </cfRule>
  </conditionalFormatting>
  <conditionalFormatting sqref="G675 G694 G696 G765:G770 G777:G778">
    <cfRule type="expression" dxfId="588" priority="1329">
      <formula>$H678&lt;&gt;$H686</formula>
    </cfRule>
  </conditionalFormatting>
  <conditionalFormatting sqref="G675 G695 G777">
    <cfRule type="expression" dxfId="587" priority="1665">
      <formula>$H679&lt;&gt;$H686</formula>
    </cfRule>
  </conditionalFormatting>
  <conditionalFormatting sqref="G675">
    <cfRule type="expression" dxfId="586" priority="1078">
      <formula>$H679&lt;&gt;#REF!</formula>
    </cfRule>
    <cfRule type="expression" dxfId="585" priority="1651">
      <formula>$H687&lt;&gt;$H684</formula>
    </cfRule>
  </conditionalFormatting>
  <conditionalFormatting sqref="G676 G681:G682">
    <cfRule type="expression" dxfId="584" priority="1034">
      <formula>$H679&lt;&gt;#REF!</formula>
    </cfRule>
  </conditionalFormatting>
  <conditionalFormatting sqref="G676 G694:G696 G739 G765:G770 G772:G775 G777:G778">
    <cfRule type="expression" dxfId="583" priority="1138">
      <formula>$H687&lt;&gt;#REF!</formula>
    </cfRule>
  </conditionalFormatting>
  <conditionalFormatting sqref="G676 G696 G736">
    <cfRule type="expression" dxfId="582" priority="1663">
      <formula>$H679&lt;&gt;$H686</formula>
    </cfRule>
  </conditionalFormatting>
  <conditionalFormatting sqref="G676 G696 G737:G740 G766:G770 G772:G775 G778:G786">
    <cfRule type="expression" dxfId="581" priority="1406">
      <formula>$H686&lt;&gt;$H687</formula>
    </cfRule>
  </conditionalFormatting>
  <conditionalFormatting sqref="G676 G777:G779">
    <cfRule type="expression" dxfId="580" priority="1540">
      <formula>$H678&lt;&gt;$H687</formula>
    </cfRule>
  </conditionalFormatting>
  <conditionalFormatting sqref="G676">
    <cfRule type="expression" dxfId="579" priority="1287">
      <formula>$H676&lt;&gt;$H687</formula>
    </cfRule>
    <cfRule type="expression" dxfId="578" priority="1536">
      <formula>$H676&lt;&gt;$H686</formula>
    </cfRule>
    <cfRule type="expression" dxfId="577" priority="1670">
      <formula>$H674&lt;&gt;$H686</formula>
    </cfRule>
  </conditionalFormatting>
  <conditionalFormatting sqref="G676:G677 G695">
    <cfRule type="expression" dxfId="576" priority="1317">
      <formula>$H678&lt;&gt;$H686</formula>
    </cfRule>
  </conditionalFormatting>
  <conditionalFormatting sqref="G677 G682:G683">
    <cfRule type="expression" dxfId="575" priority="1026">
      <formula>$H679&lt;&gt;#REF!</formula>
    </cfRule>
  </conditionalFormatting>
  <conditionalFormatting sqref="G677">
    <cfRule type="expression" dxfId="574" priority="1516">
      <formula>$H686&lt;&gt;$H687</formula>
    </cfRule>
    <cfRule type="expression" dxfId="573" priority="1662">
      <formula>$H679&lt;&gt;$H686</formula>
    </cfRule>
  </conditionalFormatting>
  <conditionalFormatting sqref="G677:G678">
    <cfRule type="expression" dxfId="572" priority="1298">
      <formula>$H678&lt;&gt;$H686</formula>
    </cfRule>
    <cfRule type="expression" dxfId="571" priority="1064">
      <formula>#REF!&lt;&gt;$H684</formula>
    </cfRule>
    <cfRule type="expression" dxfId="570" priority="1156">
      <formula>$H677&lt;&gt;$H686</formula>
    </cfRule>
  </conditionalFormatting>
  <conditionalFormatting sqref="G678 G683:G684">
    <cfRule type="expression" dxfId="569" priority="1013">
      <formula>$H679&lt;&gt;#REF!</formula>
    </cfRule>
  </conditionalFormatting>
  <conditionalFormatting sqref="G678 G698">
    <cfRule type="expression" dxfId="568" priority="1667">
      <formula>$H686&lt;&gt;$H685</formula>
    </cfRule>
  </conditionalFormatting>
  <conditionalFormatting sqref="G678 G734 G737 G768 G780">
    <cfRule type="expression" dxfId="567" priority="1660">
      <formula>$H679&lt;&gt;$H686</formula>
    </cfRule>
  </conditionalFormatting>
  <conditionalFormatting sqref="G678">
    <cfRule type="expression" dxfId="566" priority="1343">
      <formula>$H687&lt;&gt;$H685</formula>
    </cfRule>
  </conditionalFormatting>
  <conditionalFormatting sqref="G678:G679 G780:G787">
    <cfRule type="expression" dxfId="565" priority="1242">
      <formula>$H677&lt;&gt;$H686</formula>
    </cfRule>
  </conditionalFormatting>
  <conditionalFormatting sqref="G679">
    <cfRule type="expression" dxfId="564" priority="1649">
      <formula>$H687&lt;&gt;$H684</formula>
    </cfRule>
    <cfRule type="expression" dxfId="563" priority="1093">
      <formula>#REF!&lt;&gt;$H685</formula>
    </cfRule>
    <cfRule type="expression" dxfId="562" priority="1208">
      <formula>$H685&lt;&gt;#REF!</formula>
    </cfRule>
    <cfRule type="expression" dxfId="561" priority="1648">
      <formula>$H686&lt;&gt;$H685</formula>
    </cfRule>
  </conditionalFormatting>
  <conditionalFormatting sqref="G679:G680 G698 G781:G787">
    <cfRule type="expression" dxfId="560" priority="1650">
      <formula>$H678&lt;&gt;$H686</formula>
    </cfRule>
  </conditionalFormatting>
  <conditionalFormatting sqref="G679:G680">
    <cfRule type="expression" dxfId="559" priority="1053">
      <formula>$H678&lt;&gt;#REF!</formula>
    </cfRule>
    <cfRule type="expression" dxfId="558" priority="1061">
      <formula>#REF!&lt;&gt;$H684</formula>
    </cfRule>
  </conditionalFormatting>
  <conditionalFormatting sqref="G680">
    <cfRule type="expression" dxfId="557" priority="1647">
      <formula>$H687&lt;&gt;$H684</formula>
    </cfRule>
  </conditionalFormatting>
  <conditionalFormatting sqref="G680:G681">
    <cfRule type="expression" dxfId="556" priority="1046">
      <formula>#REF!&lt;&gt;$H684</formula>
    </cfRule>
  </conditionalFormatting>
  <conditionalFormatting sqref="G680:G683">
    <cfRule type="expression" dxfId="555" priority="680">
      <formula>$H684&lt;&gt;#REF!</formula>
    </cfRule>
  </conditionalFormatting>
  <conditionalFormatting sqref="G681 G712">
    <cfRule type="expression" dxfId="554" priority="1121">
      <formula>$H679&lt;&gt;#REF!</formula>
    </cfRule>
  </conditionalFormatting>
  <conditionalFormatting sqref="G681 G741">
    <cfRule type="expression" dxfId="553" priority="996">
      <formula>$H679&lt;&gt;$H685</formula>
    </cfRule>
  </conditionalFormatting>
  <conditionalFormatting sqref="G681">
    <cfRule type="expression" dxfId="552" priority="900">
      <formula>$H679&lt;&gt;$H687</formula>
    </cfRule>
    <cfRule type="expression" dxfId="551" priority="1661">
      <formula>$H686&lt;&gt;$H685</formula>
    </cfRule>
    <cfRule type="expression" dxfId="550" priority="1620">
      <formula>$H679&lt;&gt;$H686</formula>
    </cfRule>
    <cfRule type="expression" dxfId="549" priority="1537">
      <formula>$H687&lt;&gt;$H684</formula>
    </cfRule>
  </conditionalFormatting>
  <conditionalFormatting sqref="G681:G682">
    <cfRule type="expression" dxfId="548" priority="1101">
      <formula>$H686&lt;&gt;#REF!</formula>
    </cfRule>
    <cfRule type="expression" dxfId="547" priority="1691">
      <formula>$H686&lt;&gt;$H684</formula>
    </cfRule>
    <cfRule type="expression" dxfId="546" priority="1030">
      <formula>#REF!&lt;&gt;$H684</formula>
    </cfRule>
  </conditionalFormatting>
  <conditionalFormatting sqref="G682:G683 G686:G688">
    <cfRule type="expression" dxfId="545" priority="1020">
      <formula>#REF!&lt;&gt;$H684</formula>
    </cfRule>
  </conditionalFormatting>
  <conditionalFormatting sqref="G682:G683">
    <cfRule type="expression" dxfId="544" priority="1689">
      <formula>$H686&lt;&gt;$H684</formula>
    </cfRule>
  </conditionalFormatting>
  <conditionalFormatting sqref="G683">
    <cfRule type="expression" dxfId="543" priority="1485">
      <formula>$H687&lt;&gt;$H690</formula>
    </cfRule>
    <cfRule type="expression" dxfId="542" priority="1641">
      <formula>$H687&lt;&gt;$H684</formula>
    </cfRule>
  </conditionalFormatting>
  <conditionalFormatting sqref="G683:G684 G687:G688">
    <cfRule type="expression" dxfId="541" priority="1014">
      <formula>#REF!&lt;&gt;$H684</formula>
    </cfRule>
  </conditionalFormatting>
  <conditionalFormatting sqref="G684 G688">
    <cfRule type="expression" dxfId="540" priority="1042">
      <formula>#REF!&lt;&gt;$H684</formula>
    </cfRule>
  </conditionalFormatting>
  <conditionalFormatting sqref="G689">
    <cfRule type="expression" dxfId="539" priority="741">
      <formula>$H695&lt;&gt;#REF!</formula>
    </cfRule>
  </conditionalFormatting>
  <conditionalFormatting sqref="G690 G699 G719">
    <cfRule type="expression" dxfId="538" priority="2481">
      <formula>$H694&lt;&gt;$H706</formula>
    </cfRule>
  </conditionalFormatting>
  <conditionalFormatting sqref="G690 G714 G776 G780:G781 G806 G815 G824 G833 G842 G851 G860 G869">
    <cfRule type="expression" dxfId="537" priority="5306">
      <formula>$H706&lt;&gt;#REF!</formula>
    </cfRule>
  </conditionalFormatting>
  <conditionalFormatting sqref="G690 G772 G781 G806 G815 G824 G833 G842 G851 G860 G869">
    <cfRule type="expression" dxfId="536" priority="5333">
      <formula>$H699&lt;&gt;$H706</formula>
    </cfRule>
  </conditionalFormatting>
  <conditionalFormatting sqref="G691 G777">
    <cfRule type="expression" dxfId="535" priority="5332">
      <formula>$H695&lt;&gt;$H705</formula>
    </cfRule>
  </conditionalFormatting>
  <conditionalFormatting sqref="G691">
    <cfRule type="expression" dxfId="534" priority="2448">
      <formula>$H696&lt;&gt;$H706</formula>
    </cfRule>
    <cfRule type="expression" dxfId="533" priority="2604">
      <formula>#REF!&lt;&gt;$H705</formula>
    </cfRule>
    <cfRule type="expression" dxfId="532" priority="865">
      <formula>$H694&lt;&gt;$H699</formula>
    </cfRule>
    <cfRule type="expression" dxfId="531" priority="2566">
      <formula>$H706&lt;&gt;$H705</formula>
    </cfRule>
  </conditionalFormatting>
  <conditionalFormatting sqref="G691:G716 G719:G721 G723:G732 G734:G735 G737:G738 G742:G771 G776:G796 G798:G874">
    <cfRule type="expression" dxfId="530" priority="4642">
      <formula>$H692&lt;&gt;$H693</formula>
    </cfRule>
  </conditionalFormatting>
  <conditionalFormatting sqref="G692 G701">
    <cfRule type="expression" dxfId="529" priority="2447">
      <formula>$H695&lt;&gt;$H706</formula>
    </cfRule>
  </conditionalFormatting>
  <conditionalFormatting sqref="G692 G776 G778">
    <cfRule type="expression" dxfId="528" priority="2094">
      <formula>#REF!&lt;&gt;$H707</formula>
    </cfRule>
  </conditionalFormatting>
  <conditionalFormatting sqref="G692">
    <cfRule type="expression" dxfId="527" priority="2564">
      <formula>$H706&lt;&gt;$H705</formula>
    </cfRule>
  </conditionalFormatting>
  <conditionalFormatting sqref="G693 G702 G714">
    <cfRule type="expression" dxfId="526" priority="5299">
      <formula>$H694&lt;&gt;$H706</formula>
    </cfRule>
  </conditionalFormatting>
  <conditionalFormatting sqref="G693 G702">
    <cfRule type="expression" dxfId="525" priority="2088">
      <formula>$H695&lt;&gt;$H706</formula>
    </cfRule>
  </conditionalFormatting>
  <conditionalFormatting sqref="G693 G714 G777:G778 G781:G783">
    <cfRule type="expression" dxfId="524" priority="1869">
      <formula>$H705&lt;&gt;$H707</formula>
    </cfRule>
  </conditionalFormatting>
  <conditionalFormatting sqref="G693 G776">
    <cfRule type="expression" dxfId="523" priority="2458">
      <formula>$H697&lt;&gt;$H706</formula>
    </cfRule>
  </conditionalFormatting>
  <conditionalFormatting sqref="G693 G784:G787 G791">
    <cfRule type="expression" dxfId="522" priority="2072">
      <formula>#REF!&lt;&gt;$H707</formula>
    </cfRule>
  </conditionalFormatting>
  <conditionalFormatting sqref="G693">
    <cfRule type="expression" dxfId="521" priority="2810">
      <formula>$H707&lt;&gt;$H709</formula>
    </cfRule>
    <cfRule type="expression" dxfId="520" priority="2589">
      <formula>$H706&lt;&gt;$H705</formula>
    </cfRule>
  </conditionalFormatting>
  <conditionalFormatting sqref="G694 G714:G721 G778 G780">
    <cfRule type="expression" dxfId="519" priority="2062">
      <formula>$H705&lt;&gt;$H707</formula>
    </cfRule>
  </conditionalFormatting>
  <conditionalFormatting sqref="G694 G765 G776">
    <cfRule type="expression" dxfId="518" priority="5329">
      <formula>$H699&lt;&gt;$H706</formula>
    </cfRule>
  </conditionalFormatting>
  <conditionalFormatting sqref="G694 G772:G775">
    <cfRule type="expression" dxfId="517" priority="5366">
      <formula>$H699&lt;&gt;$H705</formula>
    </cfRule>
  </conditionalFormatting>
  <conditionalFormatting sqref="G694 G776 G779">
    <cfRule type="expression" dxfId="516" priority="5308">
      <formula>$H695&lt;&gt;$H706</formula>
    </cfRule>
  </conditionalFormatting>
  <conditionalFormatting sqref="G694">
    <cfRule type="expression" dxfId="515" priority="2792">
      <formula>$H707&lt;&gt;#REF!</formula>
    </cfRule>
    <cfRule type="expression" dxfId="514" priority="5324">
      <formula>$H697&lt;&gt;$H706</formula>
    </cfRule>
    <cfRule type="expression" dxfId="513" priority="2578">
      <formula>$H706&lt;&gt;$H705</formula>
    </cfRule>
    <cfRule type="expression" dxfId="512" priority="2756">
      <formula>$H709&lt;&gt;$H700</formula>
    </cfRule>
    <cfRule type="expression" dxfId="511" priority="2480">
      <formula>$H694&lt;&gt;$H706</formula>
    </cfRule>
  </conditionalFormatting>
  <conditionalFormatting sqref="G694:G696 G778">
    <cfRule type="expression" dxfId="510" priority="5323">
      <formula>$H695&lt;&gt;$H705</formula>
    </cfRule>
  </conditionalFormatting>
  <conditionalFormatting sqref="G695 G697 G739 G766 G777:G778">
    <cfRule type="expression" dxfId="509" priority="2039">
      <formula>#REF!&lt;&gt;$H707</formula>
    </cfRule>
  </conditionalFormatting>
  <conditionalFormatting sqref="G695 G714:G721 G737:G738 G740 G765 G767:G769 G772:G775 G777:G787">
    <cfRule type="expression" dxfId="508" priority="5316">
      <formula>$H706&lt;&gt;$H707</formula>
    </cfRule>
  </conditionalFormatting>
  <conditionalFormatting sqref="G695 G714:G721 G778:G787">
    <cfRule type="expression" dxfId="507" priority="2052">
      <formula>$H705&lt;&gt;$H707</formula>
    </cfRule>
  </conditionalFormatting>
  <conditionalFormatting sqref="G695 G777:G779 G781:G783">
    <cfRule type="expression" dxfId="506" priority="3099">
      <formula>$H706&lt;&gt;$H709</formula>
    </cfRule>
  </conditionalFormatting>
  <conditionalFormatting sqref="G695">
    <cfRule type="expression" dxfId="505" priority="2453">
      <formula>$H697&lt;&gt;$H706</formula>
    </cfRule>
    <cfRule type="expression" dxfId="504" priority="2080">
      <formula>$H695&lt;&gt;$H706</formula>
    </cfRule>
    <cfRule type="expression" dxfId="503" priority="2562">
      <formula>$H706&lt;&gt;$H705</formula>
    </cfRule>
    <cfRule type="expression" dxfId="502" priority="2755">
      <formula>$H709&lt;&gt;$H700</formula>
    </cfRule>
    <cfRule type="expression" dxfId="501" priority="2281">
      <formula>$H706&lt;&gt;$H701</formula>
    </cfRule>
  </conditionalFormatting>
  <conditionalFormatting sqref="G695:G696">
    <cfRule type="expression" dxfId="500" priority="2446">
      <formula>$H695&lt;&gt;$H705</formula>
    </cfRule>
  </conditionalFormatting>
  <conditionalFormatting sqref="G696 G698 G740 G767 G772 G779:G780">
    <cfRule type="expression" dxfId="499" priority="5295">
      <formula>#REF!&lt;&gt;$H707</formula>
    </cfRule>
  </conditionalFormatting>
  <conditionalFormatting sqref="G696 G698 G740 G767 G772 G779:G786">
    <cfRule type="expression" dxfId="498" priority="5350">
      <formula>$H705&lt;&gt;$H707</formula>
    </cfRule>
  </conditionalFormatting>
  <conditionalFormatting sqref="G696 G776:G778">
    <cfRule type="expression" dxfId="497" priority="3097">
      <formula>#REF!&lt;&gt;$H709</formula>
    </cfRule>
  </conditionalFormatting>
  <conditionalFormatting sqref="G696 G778:G780">
    <cfRule type="expression" dxfId="496" priority="5298">
      <formula>$H697&lt;&gt;$H706</formula>
    </cfRule>
  </conditionalFormatting>
  <conditionalFormatting sqref="G696 G785:G787">
    <cfRule type="expression" dxfId="495" priority="2797">
      <formula>$H705&lt;&gt;$H709</formula>
    </cfRule>
  </conditionalFormatting>
  <conditionalFormatting sqref="G696">
    <cfRule type="expression" dxfId="494" priority="2494">
      <formula>$H706&lt;&gt;$H700</formula>
    </cfRule>
    <cfRule type="expression" dxfId="493" priority="2784">
      <formula>$H707&lt;&gt;$H701</formula>
    </cfRule>
    <cfRule type="expression" dxfId="492" priority="2492">
      <formula>$H709&lt;&gt;$H700</formula>
    </cfRule>
    <cfRule type="expression" dxfId="491" priority="2534">
      <formula>$H706&lt;&gt;$H705</formula>
    </cfRule>
    <cfRule type="expression" dxfId="490" priority="2786">
      <formula>$H707&lt;&gt;$H700</formula>
    </cfRule>
  </conditionalFormatting>
  <conditionalFormatting sqref="G697 G699">
    <cfRule type="expression" dxfId="489" priority="2346">
      <formula>$H707&lt;&gt;$H700</formula>
    </cfRule>
  </conditionalFormatting>
  <conditionalFormatting sqref="G697 G707 G774:G775">
    <cfRule type="expression" dxfId="488" priority="1864">
      <formula>$H726&lt;&gt;$H727</formula>
    </cfRule>
  </conditionalFormatting>
  <conditionalFormatting sqref="G697 G707">
    <cfRule type="expression" dxfId="487" priority="1910">
      <formula>$H728&lt;&gt;$H729</formula>
    </cfRule>
    <cfRule type="expression" dxfId="486" priority="1877">
      <formula>$H727&lt;&gt;$H728</formula>
    </cfRule>
  </conditionalFormatting>
  <conditionalFormatting sqref="G697 G733:G734">
    <cfRule type="expression" dxfId="485" priority="2682">
      <formula>$H705&lt;&gt;$H701</formula>
    </cfRule>
  </conditionalFormatting>
  <conditionalFormatting sqref="G697 G764">
    <cfRule type="expression" dxfId="484" priority="3133">
      <formula>$H706&lt;&gt;$H709</formula>
    </cfRule>
  </conditionalFormatting>
  <conditionalFormatting sqref="G697 G770">
    <cfRule type="expression" dxfId="483" priority="3769">
      <formula>$H704&lt;&gt;$H715</formula>
    </cfRule>
  </conditionalFormatting>
  <conditionalFormatting sqref="G697 G774:G775">
    <cfRule type="expression" dxfId="482" priority="2103">
      <formula>$H724&lt;&gt;$H725</formula>
    </cfRule>
  </conditionalFormatting>
  <conditionalFormatting sqref="G697">
    <cfRule type="expression" dxfId="481" priority="2101">
      <formula>$H725&lt;&gt;#REF!</formula>
    </cfRule>
    <cfRule type="expression" dxfId="480" priority="2104">
      <formula>$H725&lt;&gt;$H726</formula>
    </cfRule>
    <cfRule type="expression" dxfId="479" priority="2161">
      <formula>$H698&lt;&gt;$H726</formula>
    </cfRule>
    <cfRule type="expression" dxfId="478" priority="2445">
      <formula>$H698&lt;&gt;$H725</formula>
    </cfRule>
    <cfRule type="expression" dxfId="477" priority="1895">
      <formula>$H724&lt;&gt;$H727</formula>
    </cfRule>
    <cfRule type="expression" dxfId="476" priority="4585">
      <formula>$H703&lt;&gt;$H725</formula>
    </cfRule>
    <cfRule type="expression" dxfId="475" priority="1891">
      <formula>$H724&lt;&gt;$H726</formula>
    </cfRule>
    <cfRule type="expression" dxfId="474" priority="3198">
      <formula>$H709&lt;&gt;$H701</formula>
    </cfRule>
    <cfRule type="expression" dxfId="473" priority="3196">
      <formula>$H709&lt;&gt;$H702</formula>
    </cfRule>
    <cfRule type="expression" dxfId="472" priority="2100">
      <formula>$H726&lt;&gt;#REF!</formula>
    </cfRule>
    <cfRule type="expression" dxfId="471" priority="2829">
      <formula>$H715&lt;&gt;$H724</formula>
    </cfRule>
    <cfRule type="expression" dxfId="470" priority="1857">
      <formula>$H715&lt;&gt;$H725</formula>
    </cfRule>
    <cfRule type="expression" dxfId="469" priority="4576">
      <formula>$H704&lt;&gt;$H724</formula>
    </cfRule>
    <cfRule type="expression" dxfId="468" priority="3776">
      <formula>$H703&lt;&gt;$H715</formula>
    </cfRule>
    <cfRule type="expression" dxfId="467" priority="4480">
      <formula>$H715&lt;&gt;$H726</formula>
    </cfRule>
    <cfRule type="expression" dxfId="466" priority="3787">
      <formula>$H698&lt;&gt;$H715</formula>
    </cfRule>
    <cfRule type="expression" dxfId="465" priority="2823">
      <formula>$H698&lt;&gt;$H724</formula>
    </cfRule>
  </conditionalFormatting>
  <conditionalFormatting sqref="G697:G698 G708 G734:G735 G772 G797">
    <cfRule type="expression" dxfId="464" priority="5231">
      <formula>$H698&lt;&gt;$H704</formula>
    </cfRule>
  </conditionalFormatting>
  <conditionalFormatting sqref="G698">
    <cfRule type="expression" dxfId="463" priority="2726">
      <formula>$H697&lt;&gt;$H707</formula>
    </cfRule>
    <cfRule type="expression" dxfId="462" priority="2760">
      <formula>$H707&lt;&gt;$H701</formula>
    </cfRule>
    <cfRule type="expression" dxfId="461" priority="2781">
      <formula>$H707&lt;&gt;$H700</formula>
    </cfRule>
    <cfRule type="expression" dxfId="460" priority="3108">
      <formula>$H705&lt;&gt;$H709</formula>
    </cfRule>
    <cfRule type="expression" dxfId="459" priority="3165">
      <formula>$H709&lt;&gt;$H701</formula>
    </cfRule>
    <cfRule type="expression" dxfId="458" priority="2433">
      <formula>$H697&lt;&gt;$H706</formula>
    </cfRule>
    <cfRule type="expression" dxfId="457" priority="2485">
      <formula>$H709&lt;&gt;$H700</formula>
    </cfRule>
    <cfRule type="expression" dxfId="456" priority="2407">
      <formula>$H706&lt;&gt;$H700</formula>
    </cfRule>
  </conditionalFormatting>
  <conditionalFormatting sqref="G699 G776 G781 G806 G815 G824 G833 G842 G851 G860 G869">
    <cfRule type="expression" dxfId="455" priority="5326">
      <formula>$H704&lt;&gt;$H715</formula>
    </cfRule>
  </conditionalFormatting>
  <conditionalFormatting sqref="G699">
    <cfRule type="expression" dxfId="454" priority="4520">
      <formula>$H715&lt;&gt;$H724</formula>
    </cfRule>
    <cfRule type="expression" dxfId="453" priority="2729">
      <formula>$H709&lt;&gt;$H698</formula>
    </cfRule>
    <cfRule type="expression" dxfId="452" priority="2303">
      <formula>$H702&lt;&gt;$H698</formula>
    </cfRule>
    <cfRule type="expression" dxfId="451" priority="2741">
      <formula>$H709&lt;&gt;$H700</formula>
    </cfRule>
    <cfRule type="expression" dxfId="450" priority="1906">
      <formula>$H698&lt;&gt;#REF!</formula>
    </cfRule>
    <cfRule type="expression" dxfId="449" priority="2307">
      <formula>$H703&lt;&gt;$H698</formula>
    </cfRule>
    <cfRule type="expression" dxfId="448" priority="2294">
      <formula>$H700&lt;&gt;$H698</formula>
    </cfRule>
    <cfRule type="expression" dxfId="447" priority="3194">
      <formula>$H709&lt;&gt;$H701</formula>
    </cfRule>
  </conditionalFormatting>
  <conditionalFormatting sqref="G699:G700 G702:G704">
    <cfRule type="expression" dxfId="446" priority="2299">
      <formula>$H724&lt;&gt;$H725</formula>
    </cfRule>
  </conditionalFormatting>
  <conditionalFormatting sqref="G700 G711">
    <cfRule type="expression" dxfId="445" priority="2290">
      <formula>$H703&lt;&gt;$H698</formula>
    </cfRule>
  </conditionalFormatting>
  <conditionalFormatting sqref="G700 G720 G776:G778 G782 G798 G807 G816 G825 G834 G843 G852 G861 G870">
    <cfRule type="expression" dxfId="444" priority="2835">
      <formula>$H703&lt;&gt;$H715</formula>
    </cfRule>
  </conditionalFormatting>
  <conditionalFormatting sqref="G700">
    <cfRule type="expression" dxfId="443" priority="4523">
      <formula>$H715&lt;&gt;$H724</formula>
    </cfRule>
    <cfRule type="expression" dxfId="442" priority="4583">
      <formula>$H698&lt;&gt;$H726</formula>
    </cfRule>
    <cfRule type="expression" dxfId="441" priority="2322">
      <formula>$H698&lt;&gt;$H704</formula>
    </cfRule>
    <cfRule type="expression" dxfId="440" priority="2227">
      <formula>$H726&lt;&gt;#REF!</formula>
    </cfRule>
    <cfRule type="expression" dxfId="439" priority="2292">
      <formula>$H702&lt;&gt;$H698</formula>
    </cfRule>
    <cfRule type="expression" dxfId="438" priority="3772">
      <formula>$H698&lt;&gt;$H715</formula>
    </cfRule>
    <cfRule type="expression" dxfId="437" priority="4577">
      <formula>$H698&lt;&gt;$H724</formula>
    </cfRule>
  </conditionalFormatting>
  <conditionalFormatting sqref="G700:G704">
    <cfRule type="expression" dxfId="436" priority="3463">
      <formula>$H724&lt;&gt;$H725</formula>
    </cfRule>
  </conditionalFormatting>
  <conditionalFormatting sqref="G701 G712">
    <cfRule type="expression" dxfId="435" priority="2286">
      <formula>$H703&lt;&gt;$H698</formula>
    </cfRule>
  </conditionalFormatting>
  <conditionalFormatting sqref="G701 G721">
    <cfRule type="expression" dxfId="434" priority="3089">
      <formula>$H702&lt;&gt;$H715</formula>
    </cfRule>
  </conditionalFormatting>
  <conditionalFormatting sqref="G701 G742">
    <cfRule type="expression" dxfId="433" priority="2315">
      <formula>$H698&lt;&gt;$H704</formula>
    </cfRule>
  </conditionalFormatting>
  <conditionalFormatting sqref="G701">
    <cfRule type="expression" dxfId="432" priority="2825">
      <formula>$H726&lt;&gt;#REF!</formula>
    </cfRule>
    <cfRule type="expression" dxfId="431" priority="4483">
      <formula>$H715&lt;&gt;$H726</formula>
    </cfRule>
    <cfRule type="expression" dxfId="430" priority="3771">
      <formula>$H698&lt;&gt;$H715</formula>
    </cfRule>
    <cfRule type="expression" dxfId="429" priority="2019">
      <formula>$H715&lt;&gt;$H725</formula>
    </cfRule>
    <cfRule type="expression" dxfId="428" priority="2228">
      <formula>#REF!&lt;&gt;$H727</formula>
    </cfRule>
    <cfRule type="expression" dxfId="427" priority="4524">
      <formula>$H704&lt;&gt;$H725</formula>
    </cfRule>
    <cfRule type="expression" dxfId="426" priority="3477">
      <formula>$H704&lt;&gt;$H724</formula>
    </cfRule>
    <cfRule type="expression" dxfId="425" priority="4582">
      <formula>$H698&lt;&gt;$H725</formula>
    </cfRule>
    <cfRule type="expression" dxfId="424" priority="2300">
      <formula>$H701&lt;&gt;$H698</formula>
    </cfRule>
    <cfRule type="expression" dxfId="423" priority="2834">
      <formula>$H703&lt;&gt;$H715</formula>
    </cfRule>
  </conditionalFormatting>
  <conditionalFormatting sqref="G701:G702 G774:G775">
    <cfRule type="expression" dxfId="422" priority="3469">
      <formula>$H724&lt;&gt;$H725</formula>
    </cfRule>
  </conditionalFormatting>
  <conditionalFormatting sqref="G702 G713">
    <cfRule type="expression" dxfId="421" priority="2297">
      <formula>$H702&lt;&gt;$H698</formula>
    </cfRule>
  </conditionalFormatting>
  <conditionalFormatting sqref="G702 G741">
    <cfRule type="expression" dxfId="420" priority="2314">
      <formula>$H698&lt;&gt;$H704</formula>
    </cfRule>
  </conditionalFormatting>
  <conditionalFormatting sqref="G702">
    <cfRule type="expression" dxfId="419" priority="3698">
      <formula>$H702&lt;&gt;$H715</formula>
    </cfRule>
    <cfRule type="expression" dxfId="418" priority="3770">
      <formula>$H698&lt;&gt;$H715</formula>
    </cfRule>
    <cfRule type="expression" dxfId="417" priority="4581">
      <formula>$H698&lt;&gt;$H725</formula>
    </cfRule>
    <cfRule type="expression" dxfId="416" priority="3464">
      <formula>$H715&lt;&gt;$H725</formula>
    </cfRule>
    <cfRule type="expression" dxfId="415" priority="3460">
      <formula>$H715&lt;&gt;$H724</formula>
    </cfRule>
    <cfRule type="expression" dxfId="414" priority="4521">
      <formula>$H715&lt;&gt;$H726</formula>
    </cfRule>
    <cfRule type="expression" dxfId="413" priority="2832">
      <formula>$H725&lt;&gt;$H727</formula>
    </cfRule>
    <cfRule type="expression" dxfId="412" priority="4590">
      <formula>$H704&lt;&gt;$H724</formula>
    </cfRule>
    <cfRule type="expression" dxfId="411" priority="4517">
      <formula>$H703&lt;&gt;$H725</formula>
    </cfRule>
    <cfRule type="expression" dxfId="410" priority="2194">
      <formula>#REF!&lt;&gt;$H727</formula>
    </cfRule>
  </conditionalFormatting>
  <conditionalFormatting sqref="G703 G742">
    <cfRule type="expression" dxfId="409" priority="2009">
      <formula>$H698&lt;&gt;$H704</formula>
    </cfRule>
  </conditionalFormatting>
  <conditionalFormatting sqref="G703">
    <cfRule type="expression" dxfId="408" priority="3453">
      <formula>$H715&lt;&gt;$H724</formula>
    </cfRule>
    <cfRule type="expression" dxfId="407" priority="3778">
      <formula>$H698&lt;&gt;$H715</formula>
    </cfRule>
    <cfRule type="expression" dxfId="406" priority="3467">
      <formula>$H704&lt;&gt;$H724</formula>
    </cfRule>
    <cfRule type="expression" dxfId="405" priority="4515">
      <formula>$H715&lt;&gt;$H725</formula>
    </cfRule>
    <cfRule type="expression" dxfId="404" priority="3457">
      <formula>$H704&lt;&gt;$H725</formula>
    </cfRule>
    <cfRule type="expression" dxfId="403" priority="4578">
      <formula>$H698&lt;&gt;$H724</formula>
    </cfRule>
  </conditionalFormatting>
  <conditionalFormatting sqref="G703:G704 G719">
    <cfRule type="expression" dxfId="402" priority="3450">
      <formula>$H725&lt;&gt;$H726</formula>
    </cfRule>
  </conditionalFormatting>
  <conditionalFormatting sqref="G703:G704 G720">
    <cfRule type="expression" dxfId="401" priority="3449">
      <formula>$H724&lt;&gt;$H725</formula>
    </cfRule>
  </conditionalFormatting>
  <conditionalFormatting sqref="G703:G704 G774:G775">
    <cfRule type="expression" dxfId="400" priority="3452">
      <formula>$H729&lt;&gt;$H730</formula>
    </cfRule>
  </conditionalFormatting>
  <conditionalFormatting sqref="G703:G704">
    <cfRule type="expression" dxfId="399" priority="3465">
      <formula>$H724&lt;&gt;$H727</formula>
    </cfRule>
    <cfRule type="expression" dxfId="398" priority="3461">
      <formula>$H724&lt;&gt;$H726</formula>
    </cfRule>
    <cfRule type="expression" dxfId="397" priority="2230">
      <formula>$H730&lt;&gt;#REF!</formula>
    </cfRule>
    <cfRule type="expression" dxfId="396" priority="2238">
      <formula>$H725&lt;&gt;$H730</formula>
    </cfRule>
    <cfRule type="expression" dxfId="395" priority="2213">
      <formula>$H725&lt;&gt;$H728</formula>
    </cfRule>
    <cfRule type="expression" dxfId="394" priority="2207">
      <formula>$H725&lt;&gt;$H727</formula>
    </cfRule>
  </conditionalFormatting>
  <conditionalFormatting sqref="G704 G706 G711">
    <cfRule type="expression" dxfId="393" priority="3118">
      <formula>$H707&lt;&gt;$H700</formula>
    </cfRule>
  </conditionalFormatting>
  <conditionalFormatting sqref="G704 G706:G708 G712">
    <cfRule type="expression" dxfId="392" priority="2305">
      <formula>$H703&lt;&gt;$H698</formula>
    </cfRule>
  </conditionalFormatting>
  <conditionalFormatting sqref="G704 G721">
    <cfRule type="expression" dxfId="391" priority="3459">
      <formula>$H724&lt;&gt;$H725</formula>
    </cfRule>
  </conditionalFormatting>
  <conditionalFormatting sqref="G704 G741">
    <cfRule type="expression" dxfId="390" priority="2618">
      <formula>$H702&lt;&gt;$H703</formula>
    </cfRule>
  </conditionalFormatting>
  <conditionalFormatting sqref="G704">
    <cfRule type="expression" dxfId="389" priority="2441">
      <formula>$H704&lt;&gt;#REF!</formula>
    </cfRule>
    <cfRule type="expression" dxfId="388" priority="2799">
      <formula>$H709&lt;&gt;$H702</formula>
    </cfRule>
    <cfRule type="expression" dxfId="387" priority="2215">
      <formula>$H700&lt;&gt;$H703</formula>
    </cfRule>
    <cfRule type="expression" dxfId="386" priority="2629">
      <formula>$H700&lt;&gt;$H702</formula>
    </cfRule>
    <cfRule type="expression" dxfId="385" priority="2190">
      <formula>#REF!&lt;&gt;$H700</formula>
    </cfRule>
    <cfRule type="expression" dxfId="384" priority="2214">
      <formula>$H709&lt;&gt;$H701</formula>
    </cfRule>
    <cfRule type="expression" dxfId="383" priority="2235">
      <formula>$H700&lt;&gt;$H704</formula>
    </cfRule>
    <cfRule type="expression" dxfId="382" priority="2208">
      <formula>$H709&lt;&gt;$H700</formula>
    </cfRule>
    <cfRule type="expression" dxfId="381" priority="3454">
      <formula>$H724&lt;&gt;$H726</formula>
    </cfRule>
    <cfRule type="expression" dxfId="380" priority="2514">
      <formula>$H706&lt;&gt;$H705</formula>
    </cfRule>
  </conditionalFormatting>
  <conditionalFormatting sqref="G704:G705 G711">
    <cfRule type="expression" dxfId="379" priority="2325">
      <formula>$H698&lt;&gt;$H704</formula>
    </cfRule>
  </conditionalFormatting>
  <conditionalFormatting sqref="G704:G705 G713 G741:G742">
    <cfRule type="expression" dxfId="378" priority="2182">
      <formula>$H700&lt;&gt;$H701</formula>
    </cfRule>
  </conditionalFormatting>
  <conditionalFormatting sqref="G705 G709 G711">
    <cfRule type="expression" dxfId="377" priority="2745">
      <formula>$H707&lt;&gt;$H701</formula>
    </cfRule>
  </conditionalFormatting>
  <conditionalFormatting sqref="G705 G709 G711:G712">
    <cfRule type="expression" dxfId="376" priority="2178">
      <formula>$H707&lt;&gt;$H700</formula>
    </cfRule>
  </conditionalFormatting>
  <conditionalFormatting sqref="G705 G711">
    <cfRule type="expression" dxfId="375" priority="2354">
      <formula>#REF!&lt;&gt;#REF!</formula>
    </cfRule>
    <cfRule type="expression" dxfId="374" priority="4666">
      <formula>$H699&lt;&gt;$H706</formula>
    </cfRule>
    <cfRule type="expression" dxfId="373" priority="2732">
      <formula>$H699&lt;&gt;$H707</formula>
    </cfRule>
    <cfRule type="expression" dxfId="372" priority="2234">
      <formula>$H701&lt;&gt;#REF!</formula>
    </cfRule>
  </conditionalFormatting>
  <conditionalFormatting sqref="G705">
    <cfRule type="expression" dxfId="371" priority="3119">
      <formula>$H709&lt;&gt;$H701</formula>
    </cfRule>
    <cfRule type="expression" dxfId="370" priority="3188">
      <formula>$H709&lt;&gt;$H702</formula>
    </cfRule>
    <cfRule type="expression" dxfId="369" priority="2313">
      <formula>$H703&lt;&gt;$H698</formula>
    </cfRule>
    <cfRule type="expression" dxfId="368" priority="2489">
      <formula>$H709&lt;&gt;$H700</formula>
    </cfRule>
    <cfRule type="expression" dxfId="367" priority="2224">
      <formula>$H700&lt;&gt;#REF!</formula>
    </cfRule>
  </conditionalFormatting>
  <conditionalFormatting sqref="G705:G707 G709:G711 G742">
    <cfRule type="expression" dxfId="366" priority="2221">
      <formula>$H700&lt;&gt;$H701</formula>
    </cfRule>
  </conditionalFormatting>
  <conditionalFormatting sqref="G705:G712">
    <cfRule type="expression" dxfId="365" priority="2141">
      <formula>$H699&lt;&gt;$H700</formula>
    </cfRule>
  </conditionalFormatting>
  <conditionalFormatting sqref="G706 G709:G713">
    <cfRule type="expression" dxfId="364" priority="2124">
      <formula>$H707&lt;&gt;$H700</formula>
    </cfRule>
  </conditionalFormatting>
  <conditionalFormatting sqref="G706 G711">
    <cfRule type="expression" dxfId="363" priority="2186">
      <formula>$H709&lt;&gt;$H701</formula>
    </cfRule>
  </conditionalFormatting>
  <conditionalFormatting sqref="G706">
    <cfRule type="expression" dxfId="362" priority="2484">
      <formula>$H709&lt;&gt;$H700</formula>
    </cfRule>
  </conditionalFormatting>
  <conditionalFormatting sqref="G706:G707 G709 G711">
    <cfRule type="expression" dxfId="361" priority="2217">
      <formula>$H702&lt;&gt;$H704</formula>
    </cfRule>
  </conditionalFormatting>
  <conditionalFormatting sqref="G706:G707 G709">
    <cfRule type="expression" dxfId="360" priority="2308">
      <formula>$H700&lt;&gt;$H698</formula>
    </cfRule>
    <cfRule type="expression" dxfId="359" priority="2311">
      <formula>$H701&lt;&gt;$H698</formula>
    </cfRule>
    <cfRule type="expression" dxfId="358" priority="2223">
      <formula>#REF!&lt;&gt;$H700</formula>
    </cfRule>
  </conditionalFormatting>
  <conditionalFormatting sqref="G706:G707 G712">
    <cfRule type="expression" dxfId="357" priority="2302">
      <formula>$H703&lt;&gt;$H698</formula>
    </cfRule>
  </conditionalFormatting>
  <conditionalFormatting sqref="G706:G707">
    <cfRule type="expression" dxfId="356" priority="2321">
      <formula>$H698&lt;&gt;$H704</formula>
    </cfRule>
    <cfRule type="expression" dxfId="355" priority="2210">
      <formula>$H701&lt;&gt;$H703</formula>
    </cfRule>
    <cfRule type="expression" dxfId="354" priority="2192">
      <formula>$H704&lt;&gt;#REF!</formula>
    </cfRule>
    <cfRule type="expression" dxfId="353" priority="2312">
      <formula>$H702&lt;&gt;$H698</formula>
    </cfRule>
  </conditionalFormatting>
  <conditionalFormatting sqref="G706:G711 G713">
    <cfRule type="expression" dxfId="352" priority="2150">
      <formula>$H700&lt;&gt;$H702</formula>
    </cfRule>
  </conditionalFormatting>
  <conditionalFormatting sqref="G707 G709 G712 G714 G720 G772">
    <cfRule type="expression" dxfId="351" priority="3443">
      <formula>#REF!&lt;&gt;$H724</formula>
    </cfRule>
  </conditionalFormatting>
  <conditionalFormatting sqref="G707">
    <cfRule type="expression" dxfId="350" priority="3209">
      <formula>$H736&lt;&gt;$H741</formula>
    </cfRule>
    <cfRule type="expression" dxfId="349" priority="3215">
      <formula>$H735&lt;&gt;$H741</formula>
    </cfRule>
    <cfRule type="expression" dxfId="348" priority="3231">
      <formula>$H735&lt;&gt;$H742</formula>
    </cfRule>
    <cfRule type="expression" dxfId="347" priority="3240">
      <formula>$H741&lt;&gt;#REF!</formula>
    </cfRule>
    <cfRule type="expression" dxfId="346" priority="5488">
      <formula>$H723&lt;&gt;$H670</formula>
    </cfRule>
    <cfRule type="expression" dxfId="345" priority="5494">
      <formula>$H670&lt;&gt;$H736</formula>
    </cfRule>
    <cfRule type="expression" dxfId="344" priority="3243">
      <formula>$H742&lt;&gt;#REF!</formula>
    </cfRule>
    <cfRule type="expression" dxfId="343" priority="3254">
      <formula>$H741&lt;&gt;$H742</formula>
    </cfRule>
    <cfRule type="expression" dxfId="342" priority="3356">
      <formula>$H735&lt;&gt;$H736</formula>
    </cfRule>
    <cfRule type="expression" dxfId="341" priority="3710">
      <formula>$H723&lt;&gt;$H735</formula>
    </cfRule>
    <cfRule type="expression" dxfId="340" priority="3715">
      <formula>$H723&lt;&gt;$H741</formula>
    </cfRule>
    <cfRule type="expression" dxfId="339" priority="4486">
      <formula>$H708&lt;&gt;$H741</formula>
    </cfRule>
    <cfRule type="expression" dxfId="338" priority="4603">
      <formula>$H723&lt;&gt;$H708</formula>
    </cfRule>
    <cfRule type="expression" dxfId="337" priority="5691">
      <formula>$H742&lt;&gt;$H737</formula>
    </cfRule>
  </conditionalFormatting>
  <conditionalFormatting sqref="G708">
    <cfRule type="expression" dxfId="336" priority="3175">
      <formula>$H709&lt;&gt;$H698</formula>
    </cfRule>
    <cfRule type="expression" dxfId="335" priority="3106">
      <formula>$H700&lt;&gt;$H702</formula>
    </cfRule>
    <cfRule type="expression" dxfId="334" priority="3150">
      <formula>$H702&lt;&gt;$H698</formula>
    </cfRule>
    <cfRule type="expression" dxfId="333" priority="3124">
      <formula>$H707&lt;&gt;$H701</formula>
    </cfRule>
    <cfRule type="expression" dxfId="332" priority="5449">
      <formula>$H709&lt;&gt;$H700</formula>
    </cfRule>
    <cfRule type="expression" dxfId="331" priority="3158">
      <formula>$H698&lt;&gt;$H704</formula>
    </cfRule>
    <cfRule type="expression" dxfId="330" priority="2129">
      <formula>$H700&lt;&gt;$H701</formula>
    </cfRule>
    <cfRule type="expression" dxfId="329" priority="3171">
      <formula>$H707&lt;&gt;$H700</formula>
    </cfRule>
    <cfRule type="expression" dxfId="328" priority="2304">
      <formula>$H700&lt;&gt;$H698</formula>
    </cfRule>
    <cfRule type="expression" dxfId="327" priority="3830">
      <formula>$H698&lt;&gt;$H715</formula>
    </cfRule>
    <cfRule type="expression" dxfId="326" priority="3831">
      <formula>$H704&lt;&gt;$H715</formula>
    </cfRule>
  </conditionalFormatting>
  <conditionalFormatting sqref="G708:G712">
    <cfRule type="expression" dxfId="325" priority="3736">
      <formula>$H701&lt;&gt;$H703</formula>
    </cfRule>
  </conditionalFormatting>
  <conditionalFormatting sqref="G708:G713">
    <cfRule type="expression" dxfId="324" priority="3104">
      <formula>$H701&lt;&gt;$H702</formula>
    </cfRule>
  </conditionalFormatting>
  <conditionalFormatting sqref="G709 G711">
    <cfRule type="expression" dxfId="323" priority="3156">
      <formula>#REF!&lt;&gt;$H702</formula>
    </cfRule>
  </conditionalFormatting>
  <conditionalFormatting sqref="G709 G712">
    <cfRule type="expression" dxfId="322" priority="2319">
      <formula>$H701&lt;&gt;$H707</formula>
    </cfRule>
    <cfRule type="expression" dxfId="321" priority="3111">
      <formula>$H711&lt;&gt;$H703</formula>
    </cfRule>
  </conditionalFormatting>
  <conditionalFormatting sqref="G709">
    <cfRule type="expression" dxfId="320" priority="3145">
      <formula>$H706&lt;&gt;$H701</formula>
    </cfRule>
    <cfRule type="expression" dxfId="319" priority="3121">
      <formula>$H707&lt;&gt;#REF!</formula>
    </cfRule>
    <cfRule type="expression" dxfId="318" priority="2310">
      <formula>$H705&lt;&gt;$H701</formula>
    </cfRule>
    <cfRule type="expression" dxfId="317" priority="3744">
      <formula>#REF!&lt;&gt;$H704</formula>
    </cfRule>
  </conditionalFormatting>
  <conditionalFormatting sqref="G709:G710 G712 G742">
    <cfRule type="expression" dxfId="316" priority="2185">
      <formula>$H704&lt;&gt;$H706</formula>
    </cfRule>
  </conditionalFormatting>
  <conditionalFormatting sqref="G709:G710 G713">
    <cfRule type="expression" dxfId="315" priority="4494">
      <formula>$H706&lt;&gt;$H725</formula>
    </cfRule>
    <cfRule type="expression" dxfId="314" priority="3810">
      <formula>$H700&lt;&gt;$H706</formula>
    </cfRule>
  </conditionalFormatting>
  <conditionalFormatting sqref="G709:G712">
    <cfRule type="expression" dxfId="313" priority="3807">
      <formula>$H704&lt;&gt;$H700</formula>
    </cfRule>
  </conditionalFormatting>
  <conditionalFormatting sqref="G709:G713">
    <cfRule type="expression" dxfId="312" priority="5476">
      <formula>$H710&lt;&gt;$H700</formula>
    </cfRule>
    <cfRule type="expression" dxfId="311" priority="2205">
      <formula>$H709&lt;&gt;$H703</formula>
    </cfRule>
    <cfRule type="expression" dxfId="310" priority="3753">
      <formula>$H702&lt;&gt;$H700</formula>
    </cfRule>
    <cfRule type="expression" dxfId="309" priority="4589">
      <formula>$H700&lt;&gt;$H725</formula>
    </cfRule>
  </conditionalFormatting>
  <conditionalFormatting sqref="G710:G713">
    <cfRule type="expression" dxfId="308" priority="2487">
      <formula>$H710&lt;&gt;$H703</formula>
    </cfRule>
  </conditionalFormatting>
  <conditionalFormatting sqref="G711">
    <cfRule type="expression" dxfId="307" priority="3160">
      <formula>$H702&lt;&gt;$H709</formula>
    </cfRule>
    <cfRule type="expression" dxfId="306" priority="4580">
      <formula>$H709&lt;&gt;$H727</formula>
    </cfRule>
    <cfRule type="expression" dxfId="305" priority="3140">
      <formula>$H706&lt;&gt;#REF!</formula>
    </cfRule>
  </conditionalFormatting>
  <conditionalFormatting sqref="G711:G712 G742">
    <cfRule type="expression" dxfId="304" priority="3130">
      <formula>$H706&lt;&gt;$H709</formula>
    </cfRule>
  </conditionalFormatting>
  <conditionalFormatting sqref="G712 G721 G777 G781 G798 G807 G816 G825 G834 G843 G852 G861 G870">
    <cfRule type="expression" dxfId="303" priority="3774">
      <formula>#REF!&lt;&gt;$H728</formula>
    </cfRule>
  </conditionalFormatting>
  <conditionalFormatting sqref="G712 G730 G782:G783">
    <cfRule type="expression" dxfId="302" priority="3144">
      <formula>#REF!&lt;&gt;$H704</formula>
    </cfRule>
  </conditionalFormatting>
  <conditionalFormatting sqref="G712">
    <cfRule type="expression" dxfId="301" priority="3152">
      <formula>$H707&lt;&gt;$H704</formula>
    </cfRule>
    <cfRule type="expression" dxfId="300" priority="3148">
      <formula>$H706&lt;&gt;$H704</formula>
    </cfRule>
    <cfRule type="expression" dxfId="299" priority="3138">
      <formula>#REF!&lt;&gt;$H706</formula>
    </cfRule>
    <cfRule type="expression" dxfId="298" priority="3813">
      <formula>$H703&lt;&gt;#REF!</formula>
    </cfRule>
    <cfRule type="expression" dxfId="297" priority="3749">
      <formula>$H709&lt;&gt;$H710</formula>
    </cfRule>
  </conditionalFormatting>
  <conditionalFormatting sqref="G712:G713">
    <cfRule type="expression" dxfId="296" priority="3117">
      <formula>$H706&lt;&gt;$H709</formula>
    </cfRule>
  </conditionalFormatting>
  <conditionalFormatting sqref="G713">
    <cfRule type="expression" dxfId="295" priority="3750">
      <formula>$H709&lt;&gt;#REF!</formula>
    </cfRule>
    <cfRule type="expression" dxfId="294" priority="3151">
      <formula>$H709&lt;&gt;$H704</formula>
    </cfRule>
    <cfRule type="expression" dxfId="293" priority="3107">
      <formula>$H706&lt;&gt;$H709</formula>
    </cfRule>
  </conditionalFormatting>
  <conditionalFormatting sqref="G714 G773:G780">
    <cfRule type="expression" dxfId="292" priority="5321">
      <formula>$H729&lt;&gt;$H730</formula>
    </cfRule>
  </conditionalFormatting>
  <conditionalFormatting sqref="G714 G777 G781:G782">
    <cfRule type="expression" dxfId="291" priority="4503">
      <formula>$H726&lt;&gt;$H729</formula>
    </cfRule>
  </conditionalFormatting>
  <conditionalFormatting sqref="G714 G778">
    <cfRule type="expression" dxfId="290" priority="4481">
      <formula>$H727&lt;&gt;$H729</formula>
    </cfRule>
  </conditionalFormatting>
  <conditionalFormatting sqref="G714">
    <cfRule type="expression" dxfId="289" priority="3434">
      <formula>$H725&lt;&gt;$H729</formula>
    </cfRule>
    <cfRule type="expression" dxfId="288" priority="3763">
      <formula>$H704&lt;&gt;$H715</formula>
    </cfRule>
    <cfRule type="expression" dxfId="287" priority="3767">
      <formula>$H704&lt;&gt;$H724</formula>
    </cfRule>
    <cfRule type="expression" dxfId="286" priority="3441">
      <formula>$H727&lt;&gt;$H730</formula>
    </cfRule>
    <cfRule type="expression" dxfId="285" priority="4579">
      <formula>$H704&lt;&gt;$H725</formula>
    </cfRule>
  </conditionalFormatting>
  <conditionalFormatting sqref="G714:G721 G779:G780">
    <cfRule type="expression" dxfId="284" priority="4504">
      <formula>$H724&lt;&gt;$H727</formula>
    </cfRule>
  </conditionalFormatting>
  <conditionalFormatting sqref="G714:G721">
    <cfRule type="expression" dxfId="283" priority="4474">
      <formula>$H726&lt;&gt;$H727</formula>
    </cfRule>
  </conditionalFormatting>
  <conditionalFormatting sqref="G715">
    <cfRule type="expression" dxfId="282" priority="5457">
      <formula>$H708&lt;&gt;$H670</formula>
    </cfRule>
    <cfRule type="expression" dxfId="281" priority="4606">
      <formula>$H723&lt;&gt;$H708</formula>
    </cfRule>
    <cfRule type="expression" dxfId="280" priority="5492">
      <formula>$H720&lt;&gt;$H670</formula>
    </cfRule>
    <cfRule type="expression" dxfId="279" priority="3271">
      <formula>#REF!&lt;&gt;$H708</formula>
    </cfRule>
    <cfRule type="expression" dxfId="278" priority="3590">
      <formula>$H734&lt;&gt;$H721</formula>
    </cfRule>
    <cfRule type="expression" dxfId="277" priority="4533">
      <formula>$H734&lt;&gt;$H718</formula>
    </cfRule>
    <cfRule type="expression" dxfId="276" priority="3005">
      <formula>$H670&lt;&gt;#REF!</formula>
    </cfRule>
    <cfRule type="expression" dxfId="275" priority="3557">
      <formula>$H734&lt;&gt;$H720</formula>
    </cfRule>
    <cfRule type="expression" dxfId="274" priority="4527">
      <formula>$H734&lt;&gt;$H716</formula>
    </cfRule>
    <cfRule type="expression" dxfId="273" priority="4531">
      <formula>$H734&lt;&gt;$H717</formula>
    </cfRule>
  </conditionalFormatting>
  <conditionalFormatting sqref="G716 G728:G729">
    <cfRule type="expression" dxfId="272" priority="3591">
      <formula>$H721&lt;&gt;$H708</formula>
    </cfRule>
  </conditionalFormatting>
  <conditionalFormatting sqref="G716">
    <cfRule type="expression" dxfId="271" priority="3861">
      <formula>$H722&lt;&gt;$H708</formula>
    </cfRule>
    <cfRule type="expression" dxfId="270" priority="3848">
      <formula>$H720&lt;&gt;$H708</formula>
    </cfRule>
    <cfRule type="expression" dxfId="269" priority="4604">
      <formula>$H723&lt;&gt;$H708</formula>
    </cfRule>
    <cfRule type="expression" dxfId="268" priority="3675">
      <formula>#REF!&lt;&gt;$H735</formula>
    </cfRule>
    <cfRule type="expression" dxfId="267" priority="5499">
      <formula>$H670&lt;&gt;$H735</formula>
    </cfRule>
    <cfRule type="expression" dxfId="266" priority="5491">
      <formula>$H722&lt;&gt;$H670</formula>
    </cfRule>
    <cfRule type="expression" dxfId="265" priority="3004">
      <formula>$H670&lt;&gt;#REF!</formula>
    </cfRule>
    <cfRule type="expression" dxfId="264" priority="5454">
      <formula>$H708&lt;&gt;$H670</formula>
    </cfRule>
  </conditionalFormatting>
  <conditionalFormatting sqref="G717 G725 G731">
    <cfRule type="expression" dxfId="263" priority="3584">
      <formula>#REF!&lt;&gt;$H708</formula>
    </cfRule>
  </conditionalFormatting>
  <conditionalFormatting sqref="G717 G771">
    <cfRule type="expression" dxfId="262" priority="3539">
      <formula>#REF!&lt;&gt;$H735</formula>
    </cfRule>
  </conditionalFormatting>
  <conditionalFormatting sqref="G717">
    <cfRule type="expression" dxfId="261" priority="4570">
      <formula>$H723&lt;&gt;$H708</formula>
    </cfRule>
    <cfRule type="expression" dxfId="260" priority="3648">
      <formula>$H722&lt;&gt;$H708</formula>
    </cfRule>
    <cfRule type="expression" dxfId="259" priority="5544">
      <formula>$H735&lt;&gt;$H736</formula>
    </cfRule>
    <cfRule type="expression" dxfId="258" priority="4568">
      <formula>$H722&lt;&gt;$H670</formula>
    </cfRule>
    <cfRule type="expression" dxfId="257" priority="5453">
      <formula>$H708&lt;&gt;$H670</formula>
    </cfRule>
    <cfRule type="expression" dxfId="256" priority="4624">
      <formula>$H708&lt;&gt;$H735</formula>
    </cfRule>
    <cfRule type="expression" dxfId="255" priority="5496">
      <formula>$H670&lt;&gt;$H735</formula>
    </cfRule>
    <cfRule type="expression" dxfId="254" priority="4605">
      <formula>$H720&lt;&gt;$H708</formula>
    </cfRule>
    <cfRule type="expression" dxfId="253" priority="5485">
      <formula>$H723&lt;&gt;$H670</formula>
    </cfRule>
  </conditionalFormatting>
  <conditionalFormatting sqref="G718 G730">
    <cfRule type="expression" dxfId="252" priority="3556">
      <formula>$H722&lt;&gt;$H708</formula>
    </cfRule>
  </conditionalFormatting>
  <conditionalFormatting sqref="G718 G771:G775">
    <cfRule type="expression" dxfId="251" priority="4489">
      <formula>$H723&lt;&gt;$H735</formula>
    </cfRule>
  </conditionalFormatting>
  <conditionalFormatting sqref="G718 G772:G775">
    <cfRule type="expression" dxfId="250" priority="3696">
      <formula>$H735&lt;&gt;$H736</formula>
    </cfRule>
  </conditionalFormatting>
  <conditionalFormatting sqref="G718">
    <cfRule type="expression" dxfId="249" priority="4506">
      <formula>$H720&lt;&gt;$H708</formula>
    </cfRule>
    <cfRule type="expression" dxfId="248" priority="5490">
      <formula>$H722&lt;&gt;$H670</formula>
    </cfRule>
    <cfRule type="expression" dxfId="247" priority="3268">
      <formula>$H708&lt;&gt;#REF!</formula>
    </cfRule>
    <cfRule type="expression" dxfId="246" priority="5456">
      <formula>$H708&lt;&gt;$H670</formula>
    </cfRule>
    <cfRule type="expression" dxfId="245" priority="5495">
      <formula>$H670&lt;&gt;$H735</formula>
    </cfRule>
    <cfRule type="expression" dxfId="244" priority="3869">
      <formula>$H718&lt;&gt;$H708</formula>
    </cfRule>
    <cfRule type="expression" dxfId="243" priority="4569">
      <formula>$H723&lt;&gt;$H708</formula>
    </cfRule>
    <cfRule type="expression" dxfId="242" priority="3012">
      <formula>$H670&lt;&gt;#REF!</formula>
    </cfRule>
    <cfRule type="expression" dxfId="241" priority="5546">
      <formula>$H736&lt;&gt;$H741</formula>
    </cfRule>
  </conditionalFormatting>
  <conditionalFormatting sqref="G719 G721 G772:G775">
    <cfRule type="expression" dxfId="240" priority="4478">
      <formula>$H735&lt;&gt;$H736</formula>
    </cfRule>
  </conditionalFormatting>
  <conditionalFormatting sqref="G719 G731">
    <cfRule type="expression" dxfId="239" priority="3543">
      <formula>$H722&lt;&gt;$H708</formula>
    </cfRule>
  </conditionalFormatting>
  <conditionalFormatting sqref="G719">
    <cfRule type="expression" dxfId="238" priority="3242">
      <formula>#REF!&lt;&gt;$H708</formula>
    </cfRule>
    <cfRule type="expression" dxfId="237" priority="5549">
      <formula>$H736&lt;&gt;$H741</formula>
    </cfRule>
    <cfRule type="expression" dxfId="236" priority="5455">
      <formula>$H708&lt;&gt;$H670</formula>
    </cfRule>
    <cfRule type="expression" dxfId="235" priority="3567">
      <formula>$H723&lt;&gt;$H708</formula>
    </cfRule>
    <cfRule type="expression" dxfId="234" priority="4625">
      <formula>$H708&lt;&gt;$H735</formula>
    </cfRule>
    <cfRule type="expression" dxfId="233" priority="3678">
      <formula>$H742&lt;&gt;#REF!</formula>
    </cfRule>
    <cfRule type="expression" dxfId="232" priority="4626">
      <formula>$H708&lt;&gt;$H742</formula>
    </cfRule>
    <cfRule type="expression" dxfId="231" priority="5484">
      <formula>$H723&lt;&gt;$H670</formula>
    </cfRule>
  </conditionalFormatting>
  <conditionalFormatting sqref="G720 G732">
    <cfRule type="expression" dxfId="230" priority="3589">
      <formula>$H721&lt;&gt;$H708</formula>
    </cfRule>
  </conditionalFormatting>
  <conditionalFormatting sqref="G720">
    <cfRule type="expression" dxfId="229" priority="4496">
      <formula>$H735&lt;&gt;$H741</formula>
    </cfRule>
    <cfRule type="expression" dxfId="228" priority="5451">
      <formula>$H708&lt;&gt;$H670</formula>
    </cfRule>
    <cfRule type="expression" dxfId="227" priority="5487">
      <formula>$H723&lt;&gt;$H670</formula>
    </cfRule>
    <cfRule type="expression" dxfId="226" priority="3542">
      <formula>$H742&lt;&gt;#REF!</formula>
    </cfRule>
    <cfRule type="expression" dxfId="225" priority="4502">
      <formula>$H722&lt;&gt;$H735</formula>
    </cfRule>
    <cfRule type="expression" dxfId="224" priority="3694">
      <formula>$H735&lt;&gt;$H742</formula>
    </cfRule>
    <cfRule type="expression" dxfId="223" priority="3267">
      <formula>#REF!&lt;&gt;$H708</formula>
    </cfRule>
    <cfRule type="expression" dxfId="222" priority="5552">
      <formula>$H736&lt;&gt;$H741</formula>
    </cfRule>
    <cfRule type="expression" dxfId="221" priority="5498">
      <formula>$H670&lt;&gt;$H741</formula>
    </cfRule>
    <cfRule type="expression" dxfId="220" priority="5497">
      <formula>$H670&lt;&gt;$H735</formula>
    </cfRule>
    <cfRule type="expression" dxfId="219" priority="4621">
      <formula>$H708&lt;&gt;$H735</formula>
    </cfRule>
    <cfRule type="expression" dxfId="218" priority="4622">
      <formula>$H708&lt;&gt;$H741</formula>
    </cfRule>
  </conditionalFormatting>
  <conditionalFormatting sqref="G721 G730">
    <cfRule type="expression" dxfId="217" priority="3522">
      <formula>$H723&lt;&gt;$H708</formula>
    </cfRule>
  </conditionalFormatting>
  <conditionalFormatting sqref="G721">
    <cfRule type="expression" dxfId="216" priority="4623">
      <formula>$H708&lt;&gt;$H741</formula>
    </cfRule>
    <cfRule type="expression" dxfId="215" priority="3689">
      <formula>$H735&lt;&gt;$H741</formula>
    </cfRule>
    <cfRule type="expression" dxfId="214" priority="4627">
      <formula>$H708&lt;&gt;$H735</formula>
    </cfRule>
    <cfRule type="expression" dxfId="213" priority="3524">
      <formula>$H735&lt;&gt;$H742</formula>
    </cfRule>
    <cfRule type="expression" dxfId="212" priority="4565">
      <formula>$H722&lt;&gt;$H708</formula>
    </cfRule>
    <cfRule type="expression" dxfId="211" priority="4575">
      <formula>$H670&lt;&gt;$H735</formula>
    </cfRule>
    <cfRule type="expression" dxfId="210" priority="5489">
      <formula>$H722&lt;&gt;$H670</formula>
    </cfRule>
    <cfRule type="expression" dxfId="209" priority="5696">
      <formula>$H741&lt;&gt;$H737</formula>
    </cfRule>
    <cfRule type="expression" dxfId="208" priority="5694">
      <formula>$H742&lt;&gt;$H737</formula>
    </cfRule>
    <cfRule type="expression" dxfId="207" priority="5486">
      <formula>$H670&lt;&gt;$H736</formula>
    </cfRule>
  </conditionalFormatting>
  <conditionalFormatting sqref="G722 G788">
    <cfRule type="expression" dxfId="206" priority="3176">
      <formula>$H715&lt;&gt;$H724</formula>
    </cfRule>
  </conditionalFormatting>
  <conditionalFormatting sqref="G722">
    <cfRule type="expression" dxfId="205" priority="3435">
      <formula>$H715&lt;&gt;$H726</formula>
    </cfRule>
    <cfRule type="expression" dxfId="204" priority="3423">
      <formula>$H715&lt;&gt;$H725</formula>
    </cfRule>
    <cfRule type="expression" dxfId="203" priority="4510">
      <formula>$H715&lt;&gt;$H727</formula>
    </cfRule>
  </conditionalFormatting>
  <conditionalFormatting sqref="G723:G730">
    <cfRule type="expression" dxfId="202" priority="3966">
      <formula>$H724&lt;&gt;$H727</formula>
    </cfRule>
  </conditionalFormatting>
  <conditionalFormatting sqref="G724 G744:G745 G749 G753 G757 G761 G766:G768 G776 G780 G785 G800:G801 G805 G809:G810 G813:G814 G817 G819 G821 G823 G825:G826 G828 G832 G837 G841 G846 G850 G855 G859 G864 G868 G873">
    <cfRule type="expression" dxfId="201" priority="5421">
      <formula>$H729&lt;&gt;$H734</formula>
    </cfRule>
  </conditionalFormatting>
  <conditionalFormatting sqref="G726">
    <cfRule type="expression" dxfId="200" priority="3549">
      <formula>$H733&lt;&gt;$H716</formula>
    </cfRule>
    <cfRule type="expression" dxfId="199" priority="4549">
      <formula>$H734&lt;&gt;$H716</formula>
    </cfRule>
    <cfRule type="expression" dxfId="198" priority="3273">
      <formula>#REF!&lt;&gt;$H716</formula>
    </cfRule>
  </conditionalFormatting>
  <conditionalFormatting sqref="G726:G727 G730:G732 G784">
    <cfRule type="expression" dxfId="197" priority="4547">
      <formula>$H716&lt;&gt;$H717</formula>
    </cfRule>
  </conditionalFormatting>
  <conditionalFormatting sqref="G727">
    <cfRule type="expression" dxfId="196" priority="4542">
      <formula>$H734&lt;&gt;$H716</formula>
    </cfRule>
  </conditionalFormatting>
  <conditionalFormatting sqref="G727:G728 G731:G732 G785">
    <cfRule type="expression" dxfId="195" priority="3548">
      <formula>$H716&lt;&gt;$H717</formula>
    </cfRule>
  </conditionalFormatting>
  <conditionalFormatting sqref="G727:G728">
    <cfRule type="expression" dxfId="194" priority="4558">
      <formula>$H732&lt;&gt;$H716</formula>
    </cfRule>
  </conditionalFormatting>
  <conditionalFormatting sqref="G728">
    <cfRule type="expression" dxfId="193" priority="4564">
      <formula>$H718&lt;&gt;$H720</formula>
    </cfRule>
  </conditionalFormatting>
  <conditionalFormatting sqref="G728:G729">
    <cfRule type="expression" dxfId="192" priority="3529">
      <formula>$H716&lt;&gt;$H717</formula>
    </cfRule>
    <cfRule type="expression" dxfId="191" priority="4556">
      <formula>$H733&lt;&gt;$H716</formula>
    </cfRule>
    <cfRule type="expression" dxfId="190" priority="3563">
      <formula>$H732&lt;&gt;$H716</formula>
    </cfRule>
    <cfRule type="expression" dxfId="189" priority="3583">
      <formula>$H720&lt;&gt;#REF!</formula>
    </cfRule>
  </conditionalFormatting>
  <conditionalFormatting sqref="G729 G731">
    <cfRule type="expression" dxfId="188" priority="3520">
      <formula>$H718&lt;&gt;$H720</formula>
    </cfRule>
    <cfRule type="expression" dxfId="187" priority="3586">
      <formula>$H720&lt;&gt;$H721</formula>
    </cfRule>
  </conditionalFormatting>
  <conditionalFormatting sqref="G729">
    <cfRule type="expression" dxfId="186" priority="4552">
      <formula>$H734&lt;&gt;$H716</formula>
    </cfRule>
  </conditionalFormatting>
  <conditionalFormatting sqref="G729:G730">
    <cfRule type="expression" dxfId="185" priority="3553">
      <formula>$H733&lt;&gt;$H716</formula>
    </cfRule>
  </conditionalFormatting>
  <conditionalFormatting sqref="G730 G783:G784">
    <cfRule type="expression" dxfId="184" priority="3580">
      <formula>$H721&lt;&gt;#REF!</formula>
    </cfRule>
  </conditionalFormatting>
  <conditionalFormatting sqref="G730">
    <cfRule type="expression" dxfId="183" priority="4525">
      <formula>$H734&lt;&gt;$H716</formula>
    </cfRule>
    <cfRule type="expression" dxfId="182" priority="4560">
      <formula>$H717&lt;&gt;$H721</formula>
    </cfRule>
    <cfRule type="expression" dxfId="181" priority="3535">
      <formula>$H733&lt;&gt;$H717</formula>
    </cfRule>
    <cfRule type="expression" dxfId="180" priority="4541">
      <formula>$H718&lt;&gt;$H720</formula>
    </cfRule>
    <cfRule type="expression" dxfId="179" priority="3570">
      <formula>$H717&lt;&gt;$H720</formula>
    </cfRule>
  </conditionalFormatting>
  <conditionalFormatting sqref="G730:G731">
    <cfRule type="expression" dxfId="178" priority="3552">
      <formula>$H716&lt;&gt;$H717</formula>
    </cfRule>
    <cfRule type="expression" dxfId="177" priority="3487">
      <formula>$H733&lt;&gt;$H716</formula>
    </cfRule>
  </conditionalFormatting>
  <conditionalFormatting sqref="G730:G732">
    <cfRule type="expression" dxfId="176" priority="4557">
      <formula>$H716&lt;&gt;$H720</formula>
    </cfRule>
  </conditionalFormatting>
  <conditionalFormatting sqref="G731">
    <cfRule type="expression" dxfId="175" priority="3534">
      <formula>$H716&lt;&gt;$H718</formula>
    </cfRule>
    <cfRule type="expression" dxfId="174" priority="3565">
      <formula>$H717&lt;&gt;$H720</formula>
    </cfRule>
    <cfRule type="expression" dxfId="173" priority="5482">
      <formula>$H732&lt;&gt;$H717</formula>
    </cfRule>
  </conditionalFormatting>
  <conditionalFormatting sqref="G731:G732 G789">
    <cfRule type="expression" dxfId="172" priority="3486">
      <formula>$H716&lt;&gt;$H717</formula>
    </cfRule>
  </conditionalFormatting>
  <conditionalFormatting sqref="G731:G732">
    <cfRule type="expression" dxfId="171" priority="4534">
      <formula>$H732&lt;&gt;$H716</formula>
    </cfRule>
  </conditionalFormatting>
  <conditionalFormatting sqref="G732">
    <cfRule type="expression" dxfId="170" priority="3493">
      <formula>$H716&lt;&gt;$H718</formula>
    </cfRule>
    <cfRule type="expression" dxfId="169" priority="3502">
      <formula>$H734&lt;&gt;$H720</formula>
    </cfRule>
    <cfRule type="expression" dxfId="168" priority="3515">
      <formula>$H717&lt;&gt;$H720</formula>
    </cfRule>
    <cfRule type="expression" dxfId="167" priority="3571">
      <formula>$H720&lt;&gt;$H721</formula>
    </cfRule>
    <cfRule type="expression" dxfId="166" priority="3577">
      <formula>$H720&lt;&gt;#REF!</formula>
    </cfRule>
    <cfRule type="expression" dxfId="165" priority="3588">
      <formula>$H721&lt;&gt;#REF!</formula>
    </cfRule>
    <cfRule type="expression" dxfId="164" priority="4535">
      <formula>$H717&lt;&gt;$H721</formula>
    </cfRule>
    <cfRule type="expression" dxfId="163" priority="3560">
      <formula>$H718&lt;&gt;$H720</formula>
    </cfRule>
    <cfRule type="expression" dxfId="162" priority="4532">
      <formula>$H733&lt;&gt;$H716</formula>
    </cfRule>
    <cfRule type="expression" dxfId="161" priority="4609">
      <formula>$H723&lt;&gt;$H708</formula>
    </cfRule>
  </conditionalFormatting>
  <conditionalFormatting sqref="G733">
    <cfRule type="expression" dxfId="160" priority="5640">
      <formula>$H742&lt;&gt;$H737</formula>
    </cfRule>
    <cfRule type="expression" dxfId="159" priority="5682">
      <formula>$H742&lt;&gt;$H739</formula>
    </cfRule>
    <cfRule type="expression" dxfId="158" priority="5493">
      <formula>$H670&lt;&gt;$H741</formula>
    </cfRule>
    <cfRule type="expression" dxfId="157" priority="5727">
      <formula>$H741&lt;&gt;$H739</formula>
    </cfRule>
    <cfRule type="expression" dxfId="156" priority="3874">
      <formula>$H670&lt;&gt;$H735</formula>
    </cfRule>
    <cfRule type="expression" dxfId="155" priority="4612">
      <formula>$H670&lt;&gt;$H736</formula>
    </cfRule>
  </conditionalFormatting>
  <conditionalFormatting sqref="G734">
    <cfRule type="expression" dxfId="154" priority="5631">
      <formula>$H742&lt;&gt;$H737</formula>
    </cfRule>
    <cfRule type="expression" dxfId="153" priority="5681">
      <formula>$H741&lt;&gt;$H739</formula>
    </cfRule>
  </conditionalFormatting>
  <conditionalFormatting sqref="G734:G735">
    <cfRule type="expression" dxfId="152" priority="5625">
      <formula>$H741&lt;&gt;$H737</formula>
    </cfRule>
  </conditionalFormatting>
  <conditionalFormatting sqref="G735">
    <cfRule type="expression" dxfId="151" priority="5724">
      <formula>$H741&lt;&gt;$H739</formula>
    </cfRule>
  </conditionalFormatting>
  <conditionalFormatting sqref="G736">
    <cfRule type="expression" dxfId="150" priority="5584">
      <formula>$H741&lt;&gt;$H737</formula>
    </cfRule>
  </conditionalFormatting>
  <conditionalFormatting sqref="G737 G768 G771">
    <cfRule type="expression" dxfId="149" priority="5744">
      <formula>$H739&lt;&gt;$H745</formula>
    </cfRule>
  </conditionalFormatting>
  <conditionalFormatting sqref="G738 G769">
    <cfRule type="expression" dxfId="148" priority="5721">
      <formula>$H745&lt;&gt;$H750</formula>
    </cfRule>
  </conditionalFormatting>
  <conditionalFormatting sqref="G739 G765 G780:G786">
    <cfRule type="expression" dxfId="147" priority="5779">
      <formula>$H747&lt;&gt;$H750</formula>
    </cfRule>
  </conditionalFormatting>
  <conditionalFormatting sqref="G739 G766 G771">
    <cfRule type="expression" dxfId="146" priority="5670">
      <formula>$H745&lt;&gt;$H749</formula>
    </cfRule>
  </conditionalFormatting>
  <conditionalFormatting sqref="G739">
    <cfRule type="expression" dxfId="145" priority="5542">
      <formula>$H743&lt;&gt;$H747</formula>
    </cfRule>
  </conditionalFormatting>
  <conditionalFormatting sqref="G741 G776">
    <cfRule type="expression" dxfId="144" priority="5793">
      <formula>$H738&lt;&gt;$H743</formula>
    </cfRule>
  </conditionalFormatting>
  <conditionalFormatting sqref="G741">
    <cfRule type="expression" dxfId="143" priority="5608">
      <formula>$H738&lt;&gt;$H740</formula>
    </cfRule>
    <cfRule type="expression" dxfId="142" priority="5711">
      <formula>$H742&lt;&gt;$H737</formula>
    </cfRule>
    <cfRule type="expression" dxfId="141" priority="5589">
      <formula>$H742&lt;&gt;$H739</formula>
    </cfRule>
  </conditionalFormatting>
  <conditionalFormatting sqref="G742 G776">
    <cfRule type="expression" dxfId="140" priority="5792">
      <formula>$H739&lt;&gt;$H743</formula>
    </cfRule>
  </conditionalFormatting>
  <conditionalFormatting sqref="G749:G751">
    <cfRule type="expression" dxfId="139" priority="667">
      <formula>$H754&lt;&gt;#REF!</formula>
    </cfRule>
    <cfRule type="expression" dxfId="138" priority="726">
      <formula>#REF!&lt;&gt;$H756</formula>
    </cfRule>
  </conditionalFormatting>
  <conditionalFormatting sqref="G752:G754">
    <cfRule type="expression" dxfId="137" priority="659">
      <formula>#REF!&lt;&gt;$H756</formula>
    </cfRule>
  </conditionalFormatting>
  <conditionalFormatting sqref="G766">
    <cfRule type="expression" dxfId="136" priority="6017">
      <formula>$H772&lt;&gt;$H777</formula>
    </cfRule>
  </conditionalFormatting>
  <conditionalFormatting sqref="G770">
    <cfRule type="expression" dxfId="135" priority="6040">
      <formula>$H781&lt;&gt;$H788</formula>
    </cfRule>
    <cfRule type="expression" dxfId="134" priority="6036">
      <formula>$H788&lt;&gt;#REF!</formula>
    </cfRule>
  </conditionalFormatting>
  <conditionalFormatting sqref="G771">
    <cfRule type="expression" dxfId="133" priority="6043">
      <formula>$H779&lt;&gt;$H788</formula>
    </cfRule>
    <cfRule type="expression" dxfId="132" priority="6015">
      <formula>$H781&lt;&gt;$H788</formula>
    </cfRule>
  </conditionalFormatting>
  <conditionalFormatting sqref="G771:G775">
    <cfRule type="expression" dxfId="131" priority="6004">
      <formula>$H788&lt;&gt;#REF!</formula>
    </cfRule>
  </conditionalFormatting>
  <conditionalFormatting sqref="G772">
    <cfRule type="expression" dxfId="130" priority="5868">
      <formula>$H781&lt;&gt;$H789</formula>
    </cfRule>
  </conditionalFormatting>
  <conditionalFormatting sqref="G772:G775">
    <cfRule type="expression" dxfId="129" priority="6008">
      <formula>$H779&lt;&gt;$H788</formula>
    </cfRule>
  </conditionalFormatting>
  <conditionalFormatting sqref="G773:G775 G782 G798 G807 G816 G825 G834 G843 G852 G861 G870">
    <cfRule type="expression" dxfId="128" priority="5894">
      <formula>$H779&lt;&gt;$H788</formula>
    </cfRule>
  </conditionalFormatting>
  <conditionalFormatting sqref="G773:G775 G795:G797">
    <cfRule type="expression" dxfId="127" priority="5939">
      <formula>$H776&lt;&gt;$H779</formula>
    </cfRule>
  </conditionalFormatting>
  <conditionalFormatting sqref="G774">
    <cfRule type="expression" dxfId="126" priority="6056">
      <formula>$H797&lt;&gt;$H774</formula>
    </cfRule>
    <cfRule type="expression" dxfId="125" priority="6060">
      <formula>$H797&lt;&gt;$H775</formula>
    </cfRule>
    <cfRule type="expression" dxfId="124" priority="6148">
      <formula>$H805&lt;&gt;$H806</formula>
    </cfRule>
    <cfRule type="expression" dxfId="123" priority="6329">
      <formula>$H775&lt;&gt;$H798</formula>
    </cfRule>
    <cfRule type="expression" dxfId="122" priority="6207">
      <formula>$H775&lt;&gt;$H800</formula>
    </cfRule>
    <cfRule type="expression" dxfId="121" priority="6287">
      <formula>$H806&lt;&gt;#REF!</formula>
    </cfRule>
    <cfRule type="expression" dxfId="120" priority="6286">
      <formula>$H801&lt;&gt;$H806</formula>
    </cfRule>
  </conditionalFormatting>
  <conditionalFormatting sqref="G774:G775">
    <cfRule type="expression" dxfId="119" priority="6070">
      <formula>$H798&lt;&gt;$H801</formula>
    </cfRule>
    <cfRule type="expression" dxfId="118" priority="6074">
      <formula>$H801&lt;&gt;$H803</formula>
    </cfRule>
    <cfRule type="expression" dxfId="117" priority="6183">
      <formula>$H801&lt;&gt;$H804</formula>
    </cfRule>
    <cfRule type="expression" dxfId="116" priority="6102">
      <formula>$H800&lt;&gt;$H802</formula>
    </cfRule>
    <cfRule type="expression" dxfId="115" priority="6108">
      <formula>$H800&lt;&gt;$H803</formula>
    </cfRule>
    <cfRule type="expression" dxfId="114" priority="6129">
      <formula>$H804&lt;&gt;$H805</formula>
    </cfRule>
    <cfRule type="expression" dxfId="113" priority="6136">
      <formula>$H805&lt;&gt;#REF!</formula>
    </cfRule>
    <cfRule type="expression" dxfId="112" priority="6139">
      <formula>$H799&lt;&gt;$H805</formula>
    </cfRule>
    <cfRule type="expression" dxfId="111" priority="6276">
      <formula>$H799&lt;&gt;$H801</formula>
    </cfRule>
  </conditionalFormatting>
  <conditionalFormatting sqref="G775">
    <cfRule type="expression" dxfId="110" priority="6093">
      <formula>$H799&lt;&gt;$H803</formula>
    </cfRule>
    <cfRule type="expression" dxfId="109" priority="6149">
      <formula>#REF!&lt;&gt;$H807</formula>
    </cfRule>
    <cfRule type="expression" dxfId="108" priority="6176">
      <formula>$H803&lt;&gt;$H806</formula>
    </cfRule>
    <cfRule type="expression" dxfId="107" priority="6189">
      <formula>$H801&lt;&gt;$H805</formula>
    </cfRule>
    <cfRule type="expression" dxfId="106" priority="6209">
      <formula>$H813&lt;&gt;#REF!</formula>
    </cfRule>
    <cfRule type="expression" dxfId="105" priority="6214">
      <formula>$H802&lt;&gt;$H813</formula>
    </cfRule>
    <cfRule type="expression" dxfId="104" priority="6217">
      <formula>$H806&lt;&gt;$H813</formula>
    </cfRule>
    <cfRule type="expression" dxfId="103" priority="6078">
      <formula>$H798&lt;&gt;$H801</formula>
    </cfRule>
    <cfRule type="expression" dxfId="102" priority="6302">
      <formula>$H774&lt;&gt;$H798</formula>
    </cfRule>
    <cfRule type="expression" dxfId="101" priority="6305">
      <formula>$H774&lt;&gt;$H799</formula>
    </cfRule>
    <cfRule type="expression" dxfId="100" priority="6117">
      <formula>$H803&lt;&gt;$H805</formula>
    </cfRule>
  </conditionalFormatting>
  <conditionalFormatting sqref="G776">
    <cfRule type="expression" dxfId="99" priority="5918">
      <formula>$H773&lt;&gt;$H776</formula>
    </cfRule>
  </conditionalFormatting>
  <conditionalFormatting sqref="G779:G782">
    <cfRule type="expression" dxfId="98" priority="5881">
      <formula>$H788&lt;&gt;$H794</formula>
    </cfRule>
  </conditionalFormatting>
  <conditionalFormatting sqref="G780">
    <cfRule type="expression" dxfId="97" priority="5913">
      <formula>$H791&lt;&gt;$H796</formula>
    </cfRule>
  </conditionalFormatting>
  <conditionalFormatting sqref="G781:G783">
    <cfRule type="expression" dxfId="96" priority="5904">
      <formula>$H791&lt;&gt;$H795</formula>
    </cfRule>
  </conditionalFormatting>
  <conditionalFormatting sqref="G781:G785">
    <cfRule type="expression" dxfId="95" priority="5839">
      <formula>$H789&lt;&gt;$H793</formula>
    </cfRule>
  </conditionalFormatting>
  <conditionalFormatting sqref="G783">
    <cfRule type="expression" dxfId="94" priority="6166">
      <formula>$H797&lt;&gt;$H774</formula>
    </cfRule>
  </conditionalFormatting>
  <conditionalFormatting sqref="G783:G784">
    <cfRule type="expression" dxfId="93" priority="6236">
      <formula>$H792&lt;&gt;$H774</formula>
    </cfRule>
    <cfRule type="expression" dxfId="92" priority="6202">
      <formula>$H795&lt;&gt;$H774</formula>
    </cfRule>
  </conditionalFormatting>
  <conditionalFormatting sqref="G784">
    <cfRule type="expression" dxfId="91" priority="6162">
      <formula>$H797&lt;&gt;$H774</formula>
    </cfRule>
  </conditionalFormatting>
  <conditionalFormatting sqref="G784:G785">
    <cfRule type="expression" dxfId="90" priority="6196">
      <formula>$H795&lt;&gt;$H774</formula>
    </cfRule>
    <cfRule type="expression" dxfId="89" priority="6172">
      <formula>$H796&lt;&gt;$H774</formula>
    </cfRule>
    <cfRule type="expression" dxfId="88" priority="6239">
      <formula>$H794&lt;&gt;$H774</formula>
    </cfRule>
  </conditionalFormatting>
  <conditionalFormatting sqref="G785">
    <cfRule type="expression" dxfId="87" priority="6323">
      <formula>$H775&lt;&gt;$H798</formula>
    </cfRule>
  </conditionalFormatting>
  <conditionalFormatting sqref="G786">
    <cfRule type="expression" dxfId="86" priority="6322">
      <formula>$H775&lt;&gt;$H798</formula>
    </cfRule>
    <cfRule type="expression" dxfId="85" priority="6212">
      <formula>$H797&lt;&gt;$H774</formula>
    </cfRule>
  </conditionalFormatting>
  <conditionalFormatting sqref="G786:G787">
    <cfRule type="expression" dxfId="84" priority="6291">
      <formula>$H774&lt;&gt;$H799</formula>
    </cfRule>
    <cfRule type="expression" dxfId="83" priority="6174">
      <formula>$H796&lt;&gt;$H774</formula>
    </cfRule>
    <cfRule type="expression" dxfId="82" priority="6325">
      <formula>$H774&lt;&gt;$H798</formula>
    </cfRule>
    <cfRule type="expression" dxfId="81" priority="6234">
      <formula>$H794&lt;&gt;$H774</formula>
    </cfRule>
  </conditionalFormatting>
  <conditionalFormatting sqref="G787">
    <cfRule type="expression" dxfId="80" priority="6211">
      <formula>$H774&lt;&gt;$H775</formula>
    </cfRule>
    <cfRule type="expression" dxfId="79" priority="6159">
      <formula>$H797&lt;&gt;$H774</formula>
    </cfRule>
    <cfRule type="expression" dxfId="78" priority="6219">
      <formula>$H796&lt;&gt;$H774</formula>
    </cfRule>
    <cfRule type="expression" dxfId="77" priority="6292">
      <formula>$H774&lt;&gt;$H799</formula>
    </cfRule>
    <cfRule type="expression" dxfId="76" priority="6229">
      <formula>$H795&lt;&gt;$H774</formula>
    </cfRule>
  </conditionalFormatting>
  <conditionalFormatting sqref="G788">
    <cfRule type="expression" dxfId="75" priority="5801">
      <formula>$H781&lt;&gt;$H789</formula>
    </cfRule>
    <cfRule type="expression" dxfId="74" priority="6145">
      <formula>$H797&lt;&gt;$H774</formula>
    </cfRule>
  </conditionalFormatting>
  <conditionalFormatting sqref="G789">
    <cfRule type="expression" dxfId="73" priority="6222">
      <formula>$H794&lt;&gt;$H775</formula>
    </cfRule>
    <cfRule type="expression" dxfId="72" priority="6131">
      <formula>$H797&lt;&gt;$H774</formula>
    </cfRule>
    <cfRule type="expression" dxfId="71" priority="6155">
      <formula>$H775&lt;&gt;#REF!</formula>
    </cfRule>
  </conditionalFormatting>
  <conditionalFormatting sqref="G789:G790">
    <cfRule type="expression" dxfId="70" priority="6137">
      <formula>$H774&lt;&gt;#REF!</formula>
    </cfRule>
    <cfRule type="expression" dxfId="69" priority="6141">
      <formula>$H792&lt;&gt;$H774</formula>
    </cfRule>
  </conditionalFormatting>
  <conditionalFormatting sqref="G790">
    <cfRule type="expression" dxfId="68" priority="6321">
      <formula>$H775&lt;&gt;$H798</formula>
    </cfRule>
    <cfRule type="expression" dxfId="67" priority="6132">
      <formula>$H774&lt;&gt;$H775</formula>
    </cfRule>
    <cfRule type="expression" dxfId="66" priority="6121">
      <formula>$H797&lt;&gt;$H774</formula>
    </cfRule>
    <cfRule type="expression" dxfId="65" priority="6330">
      <formula>$H775&lt;&gt;$H804</formula>
    </cfRule>
  </conditionalFormatting>
  <conditionalFormatting sqref="G791">
    <cfRule type="expression" dxfId="64" priority="6122">
      <formula>$H774&lt;&gt;$H775</formula>
    </cfRule>
    <cfRule type="expression" dxfId="63" priority="6115">
      <formula>$H797&lt;&gt;$H775</formula>
    </cfRule>
    <cfRule type="expression" dxfId="62" priority="6319">
      <formula>$H775&lt;&gt;$H798</formula>
    </cfRule>
    <cfRule type="expression" dxfId="61" priority="6187">
      <formula>$H795&lt;&gt;$H775</formula>
    </cfRule>
    <cfRule type="expression" dxfId="60" priority="6185">
      <formula>$H796&lt;&gt;$H775</formula>
    </cfRule>
    <cfRule type="expression" dxfId="59" priority="6324">
      <formula>$H775&lt;&gt;$H804</formula>
    </cfRule>
  </conditionalFormatting>
  <conditionalFormatting sqref="G792">
    <cfRule type="expression" dxfId="58" priority="6123">
      <formula>$H795&lt;&gt;$H775</formula>
    </cfRule>
    <cfRule type="expression" dxfId="57" priority="6076">
      <formula>$H797&lt;&gt;$H775</formula>
    </cfRule>
    <cfRule type="expression" dxfId="56" priority="6316">
      <formula>$H775&lt;&gt;$H798</formula>
    </cfRule>
    <cfRule type="expression" dxfId="55" priority="6318">
      <formula>$H775&lt;&gt;$H799</formula>
    </cfRule>
    <cfRule type="expression" dxfId="54" priority="6086">
      <formula>$H797&lt;&gt;$H774</formula>
    </cfRule>
  </conditionalFormatting>
  <conditionalFormatting sqref="G792:G793">
    <cfRule type="expression" dxfId="53" priority="6104">
      <formula>$H796&lt;&gt;$H774</formula>
    </cfRule>
  </conditionalFormatting>
  <conditionalFormatting sqref="G793">
    <cfRule type="expression" dxfId="52" priority="6113">
      <formula>$H797&lt;&gt;$H774</formula>
    </cfRule>
    <cfRule type="expression" dxfId="51" priority="6310">
      <formula>$H775&lt;&gt;$H798</formula>
    </cfRule>
    <cfRule type="expression" dxfId="50" priority="6091">
      <formula>$H795&lt;&gt;$H775</formula>
    </cfRule>
    <cfRule type="expression" dxfId="49" priority="6089">
      <formula>$H775&lt;&gt;#REF!</formula>
    </cfRule>
    <cfRule type="expression" dxfId="48" priority="6179">
      <formula>$H794&lt;&gt;$H775</formula>
    </cfRule>
    <cfRule type="expression" dxfId="47" priority="6087">
      <formula>$H774&lt;&gt;$H775</formula>
    </cfRule>
  </conditionalFormatting>
  <conditionalFormatting sqref="G793:G794">
    <cfRule type="expression" dxfId="46" priority="6072">
      <formula>$H795&lt;&gt;$H774</formula>
    </cfRule>
    <cfRule type="expression" dxfId="45" priority="6307">
      <formula>$H774&lt;&gt;$H798</formula>
    </cfRule>
    <cfRule type="expression" dxfId="44" priority="6085">
      <formula>$H774&lt;&gt;$H799</formula>
    </cfRule>
    <cfRule type="expression" dxfId="43" priority="6100">
      <formula>$H796&lt;&gt;$H774</formula>
    </cfRule>
  </conditionalFormatting>
  <conditionalFormatting sqref="G794">
    <cfRule type="expression" dxfId="42" priority="6309">
      <formula>$H775&lt;&gt;$H798</formula>
    </cfRule>
    <cfRule type="expression" dxfId="41" priority="6184">
      <formula>$H775&lt;&gt;$H802</formula>
    </cfRule>
    <cfRule type="expression" dxfId="40" priority="6114">
      <formula>$H774&lt;&gt;$H775</formula>
    </cfRule>
    <cfRule type="expression" dxfId="39" priority="6112">
      <formula>$H774&lt;&gt;$H799</formula>
    </cfRule>
  </conditionalFormatting>
  <conditionalFormatting sqref="G794:G795">
    <cfRule type="expression" dxfId="38" priority="6080">
      <formula>$H795&lt;&gt;$H774</formula>
    </cfRule>
    <cfRule type="expression" dxfId="37" priority="6313">
      <formula>$H774&lt;&gt;$H798</formula>
    </cfRule>
  </conditionalFormatting>
  <conditionalFormatting sqref="G795">
    <cfRule type="expression" dxfId="36" priority="6315">
      <formula>$H775&lt;&gt;$H798</formula>
    </cfRule>
    <cfRule type="expression" dxfId="35" priority="6103">
      <formula>$H775&lt;&gt;$H801</formula>
    </cfRule>
  </conditionalFormatting>
  <conditionalFormatting sqref="G795:G796">
    <cfRule type="expression" dxfId="34" priority="6312">
      <formula>$H774&lt;&gt;$H798</formula>
    </cfRule>
    <cfRule type="expression" dxfId="33" priority="6124">
      <formula>$H774&lt;&gt;$H802</formula>
    </cfRule>
  </conditionalFormatting>
  <conditionalFormatting sqref="G795:G797">
    <cfRule type="expression" dxfId="32" priority="6240">
      <formula>$H797&lt;&gt;$H798</formula>
    </cfRule>
  </conditionalFormatting>
  <conditionalFormatting sqref="G796">
    <cfRule type="expression" dxfId="31" priority="6206">
      <formula>$H797&lt;&gt;$H774</formula>
    </cfRule>
    <cfRule type="expression" dxfId="30" priority="6099">
      <formula>$H775&lt;&gt;$H801</formula>
    </cfRule>
  </conditionalFormatting>
  <conditionalFormatting sqref="G796:G797">
    <cfRule type="expression" dxfId="29" priority="6306">
      <formula>$H774&lt;&gt;$H799</formula>
    </cfRule>
    <cfRule type="expression" dxfId="28" priority="6244">
      <formula>$H797&lt;&gt;$H799</formula>
    </cfRule>
    <cfRule type="expression" dxfId="27" priority="6067">
      <formula>$H795&lt;&gt;$H774</formula>
    </cfRule>
  </conditionalFormatting>
  <conditionalFormatting sqref="G797">
    <cfRule type="expression" dxfId="26" priority="6205">
      <formula>$H774&lt;&gt;$H775</formula>
    </cfRule>
    <cfRule type="expression" dxfId="25" priority="6311">
      <formula>$H775&lt;&gt;$H801</formula>
    </cfRule>
    <cfRule type="expression" dxfId="24" priority="6062">
      <formula>$H796&lt;&gt;$H774</formula>
    </cfRule>
    <cfRule type="expression" dxfId="23" priority="6079">
      <formula>$H774&lt;&gt;$H801</formula>
    </cfRule>
  </conditionalFormatting>
  <conditionalFormatting sqref="G797:G798">
    <cfRule type="expression" dxfId="22" priority="6304">
      <formula>$H774&lt;&gt;$H799</formula>
    </cfRule>
  </conditionalFormatting>
  <conditionalFormatting sqref="G798">
    <cfRule type="expression" dxfId="21" priority="6301">
      <formula>$H775&lt;&gt;$H799</formula>
    </cfRule>
    <cfRule type="expression" dxfId="20" priority="6300">
      <formula>$H775&lt;&gt;$H798</formula>
    </cfRule>
  </conditionalFormatting>
  <conditionalFormatting sqref="G5:K772 G774:K774 G776:K796 G798:K1000">
    <cfRule type="expression" dxfId="19" priority="81">
      <formula>$H5&lt;&gt;$H6</formula>
    </cfRule>
  </conditionalFormatting>
  <conditionalFormatting sqref="G773:K773">
    <cfRule type="expression" dxfId="18" priority="5916">
      <formula>$H773&lt;&gt;$H776</formula>
    </cfRule>
  </conditionalFormatting>
  <conditionalFormatting sqref="G775:K775">
    <cfRule type="expression" dxfId="17" priority="6299">
      <formula>$H775&lt;&gt;$H798</formula>
    </cfRule>
  </conditionalFormatting>
  <conditionalFormatting sqref="G797:K797">
    <cfRule type="expression" dxfId="16" priority="6052">
      <formula>$H797&lt;&gt;$H774</formula>
    </cfRule>
  </conditionalFormatting>
  <conditionalFormatting sqref="H774:H775">
    <cfRule type="expression" dxfId="15" priority="6151">
      <formula>$H811&lt;&gt;#REF!</formula>
    </cfRule>
  </conditionalFormatting>
  <conditionalFormatting sqref="H5:K1008">
    <cfRule type="expression" dxfId="14" priority="96">
      <formula>MOD(ROW(),2)=1</formula>
    </cfRule>
    <cfRule type="expression" dxfId="13" priority="98">
      <formula>MOD(ROW(),2)=0</formula>
    </cfRule>
  </conditionalFormatting>
  <conditionalFormatting sqref="I314">
    <cfRule type="expression" dxfId="12" priority="78">
      <formula>$H314&lt;&gt;$H315</formula>
    </cfRule>
  </conditionalFormatting>
  <conditionalFormatting sqref="I314:K314">
    <cfRule type="expression" dxfId="11" priority="80">
      <formula>MOD(ROW(),2)=0</formula>
    </cfRule>
    <cfRule type="expression" dxfId="10" priority="79">
      <formula>MOD(ROW(),2)=1</formula>
    </cfRule>
  </conditionalFormatting>
  <conditionalFormatting sqref="I432:K432">
    <cfRule type="expression" dxfId="9" priority="244">
      <formula>$H432&lt;&gt;#REF!</formula>
    </cfRule>
  </conditionalFormatting>
  <conditionalFormatting sqref="J681:J682">
    <cfRule type="expression" dxfId="8" priority="20">
      <formula>MOD(ROW(),2)=1</formula>
    </cfRule>
    <cfRule type="expression" dxfId="7" priority="21">
      <formula>MOD(ROW(),2)=0</formula>
    </cfRule>
  </conditionalFormatting>
  <conditionalFormatting sqref="J683">
    <cfRule type="expression" dxfId="6" priority="18">
      <formula>MOD(ROW(),2)=0</formula>
    </cfRule>
  </conditionalFormatting>
  <conditionalFormatting sqref="K354 G420:G426 G429:G432 G435:G649 G651:G773 G775 G777:G797 G799:G874">
    <cfRule type="expression" dxfId="5" priority="229">
      <formula>$H353&lt;&gt;$H354</formula>
    </cfRule>
  </conditionalFormatting>
  <conditionalFormatting sqref="K393:K394">
    <cfRule type="expression" dxfId="4" priority="64">
      <formula>$H393&lt;&gt;$H394</formula>
    </cfRule>
  </conditionalFormatting>
  <conditionalFormatting sqref="K408">
    <cfRule type="expression" dxfId="3" priority="67">
      <formula>MOD(ROW(),2)=0</formula>
    </cfRule>
    <cfRule type="expression" dxfId="2" priority="66">
      <formula>MOD(ROW(),2)=1</formula>
    </cfRule>
  </conditionalFormatting>
  <conditionalFormatting sqref="K427:K432 G697 G736">
    <cfRule type="expression" dxfId="1" priority="242">
      <formula>$H433&lt;&gt;$H428</formula>
    </cfRule>
  </conditionalFormatting>
  <conditionalFormatting sqref="K460">
    <cfRule type="expression" dxfId="0" priority="56">
      <formula>$H460&lt;&gt;$H467</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1d48340-e2bb-4bcf-9a16-7bc8f53c452c" xsi:nil="true"/>
    <lcf76f155ced4ddcb4097134ff3c332f xmlns="f28dc255-ca70-4e92-8aa6-e7203d3f9a3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4FCAE2AD1437449573E08C7CD98C87" ma:contentTypeVersion="16" ma:contentTypeDescription="Create a new document." ma:contentTypeScope="" ma:versionID="85a7865a452841055bb10e7efabda8f7">
  <xsd:schema xmlns:xsd="http://www.w3.org/2001/XMLSchema" xmlns:xs="http://www.w3.org/2001/XMLSchema" xmlns:p="http://schemas.microsoft.com/office/2006/metadata/properties" xmlns:ns2="f28dc255-ca70-4e92-8aa6-e7203d3f9a3f" xmlns:ns3="91d48340-e2bb-4bcf-9a16-7bc8f53c452c" targetNamespace="http://schemas.microsoft.com/office/2006/metadata/properties" ma:root="true" ma:fieldsID="870d24808bcd1cc2abaecadc33ae7a48" ns2:_="" ns3:_="">
    <xsd:import namespace="f28dc255-ca70-4e92-8aa6-e7203d3f9a3f"/>
    <xsd:import namespace="91d48340-e2bb-4bcf-9a16-7bc8f53c452c"/>
    <xsd:element name="properties">
      <xsd:complexType>
        <xsd:sequence>
          <xsd:element name="documentManagement">
            <xsd:complexType>
              <xsd:all>
                <xsd:element ref="ns2:MediaServiceSearchProperties" minOccurs="0"/>
                <xsd:element ref="ns3:TaxCatchAll" minOccurs="0"/>
                <xsd:element ref="ns2:MediaServiceOCR"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8dc255-ca70-4e92-8aa6-e7203d3f9a3f"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e9e90a8-b24c-4be7-8760-a88b2cd47eb1" ma:termSetId="09814cd3-568e-fe90-9814-8d621ff8fb84" ma:anchorId="fba54fb3-c3e1-fe81-a776-ca4b69148c4d" ma:open="true" ma:isKeyword="false">
      <xsd:complexType>
        <xsd:sequence>
          <xsd:element ref="pc:Terms" minOccurs="0" maxOccurs="1"/>
        </xsd:sequence>
      </xsd:complex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48340-e2bb-4bcf-9a16-7bc8f53c452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fb9d4ba7-3d5a-496c-ae15-625a47972879}" ma:internalName="TaxCatchAll" ma:readOnly="false" ma:showField="CatchAllData" ma:web="91d48340-e2bb-4bcf-9a16-7bc8f53c45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0946BC-03C7-4BBF-B1F9-028BC9212EF3}"/>
</file>

<file path=customXml/itemProps2.xml><?xml version="1.0" encoding="utf-8"?>
<ds:datastoreItem xmlns:ds="http://schemas.openxmlformats.org/officeDocument/2006/customXml" ds:itemID="{13384951-2879-4881-9ADA-1A983CC1C6B1}"/>
</file>

<file path=customXml/itemProps3.xml><?xml version="1.0" encoding="utf-8"?>
<ds:datastoreItem xmlns:ds="http://schemas.openxmlformats.org/officeDocument/2006/customXml" ds:itemID="{3731461D-E069-474F-82F0-B94859FD54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Zachary Tyler McGill</cp:lastModifiedBy>
  <cp:revision/>
  <dcterms:created xsi:type="dcterms:W3CDTF">2025-09-24T16:46:22Z</dcterms:created>
  <dcterms:modified xsi:type="dcterms:W3CDTF">2026-05-05T18:52:02Z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0x0101006B4FCAE2AD1437449573E08C7CD98C87</vt:lpwstr>
  </property>
  <property fmtid="{D5CDD505-2E9C-101B-9397-08002B2CF9AE}" pid="3" name="MediaServiceImageTags">
    <vt:lpwstr/>
  </property>
  <property fmtid="{D5CDD505-2E9C-101B-9397-08002B2CF9AE}" pid="4" name="xd_ProgID">
    <vt:lpwstr/>
  </property>
  <property fmtid="{D5CDD505-2E9C-101B-9397-08002B2CF9AE}" pid="5" name="TemplateUrl">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GUID">
    <vt:lpwstr>bfa80a84-d47b-4112-9f7d-97a76ed38353</vt:lpwstr>
  </property>
  <property fmtid="{D5CDD505-2E9C-101B-9397-08002B2CF9AE}" pid="10" name="xd_Signature">
    <vt:bool>false</vt:bool>
  </property>
</Properties>
</file>